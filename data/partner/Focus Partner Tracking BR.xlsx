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rovere/Documents/app-mrovere/partner-dashboard/"/>
    </mc:Choice>
  </mc:AlternateContent>
  <xr:revisionPtr revIDLastSave="0" documentId="13_ncr:1_{7789F6B9-22EA-3649-95B7-4370DEF3CDC8}" xr6:coauthVersionLast="47" xr6:coauthVersionMax="47" xr10:uidLastSave="{00000000-0000-0000-0000-000000000000}"/>
  <bookViews>
    <workbookView xWindow="0" yWindow="680" windowWidth="29400" windowHeight="16960" xr2:uid="{00000000-000D-0000-FFFF-FFFF00000000}"/>
  </bookViews>
  <sheets>
    <sheet name="BR" sheetId="1" r:id="rId1"/>
    <sheet name="Tech Certs" sheetId="2" r:id="rId2"/>
    <sheet name="Guardian" sheetId="3" r:id="rId3"/>
  </sheets>
  <definedNames>
    <definedName name="_xlnm._FilterDatabase" localSheetId="0" hidden="1">BR!$A$3:$F$19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7" i="1" l="1"/>
  <c r="N17" i="1"/>
  <c r="W17" i="1" s="1"/>
  <c r="U16" i="1"/>
  <c r="W16" i="1" s="1"/>
  <c r="N16" i="1"/>
  <c r="U15" i="1"/>
  <c r="N15" i="1"/>
  <c r="U14" i="1"/>
  <c r="W14" i="1" s="1"/>
  <c r="U13" i="1"/>
  <c r="N13" i="1"/>
  <c r="W13" i="1" s="1"/>
  <c r="U12" i="1"/>
  <c r="N12" i="1"/>
  <c r="W12" i="1" s="1"/>
  <c r="U11" i="1"/>
  <c r="N11" i="1"/>
  <c r="W11" i="1" s="1"/>
  <c r="U10" i="1"/>
  <c r="N10" i="1"/>
  <c r="W10" i="1" s="1"/>
  <c r="U9" i="1"/>
  <c r="N9" i="1"/>
  <c r="W9" i="1" s="1"/>
  <c r="U8" i="1"/>
  <c r="N8" i="1"/>
  <c r="W8" i="1" s="1"/>
  <c r="U7" i="1"/>
  <c r="N7" i="1"/>
  <c r="W7" i="1" s="1"/>
  <c r="W6" i="1"/>
  <c r="U6" i="1"/>
  <c r="N6" i="1"/>
  <c r="U5" i="1"/>
  <c r="W5" i="1" s="1"/>
</calcChain>
</file>

<file path=xl/sharedStrings.xml><?xml version="1.0" encoding="utf-8"?>
<sst xmlns="http://schemas.openxmlformats.org/spreadsheetml/2006/main" count="323" uniqueCount="139">
  <si>
    <t>Cursos e certificacoes</t>
  </si>
  <si>
    <t>EM Delivery</t>
  </si>
  <si>
    <t>Pre Sales Delivery</t>
  </si>
  <si>
    <t>Introduction</t>
  </si>
  <si>
    <t>Specialist</t>
  </si>
  <si>
    <t xml:space="preserve">EM </t>
  </si>
  <si>
    <t xml:space="preserve">Analist </t>
  </si>
  <si>
    <t>Guardian</t>
  </si>
  <si>
    <t>Demo</t>
  </si>
  <si>
    <t>POV</t>
  </si>
  <si>
    <t>ID Reseller</t>
  </si>
  <si>
    <t>Name (Reseller)</t>
  </si>
  <si>
    <t>Partner</t>
  </si>
  <si>
    <t>Primary Contact</t>
  </si>
  <si>
    <t>Status</t>
  </si>
  <si>
    <t>ONE</t>
  </si>
  <si>
    <t>VM</t>
  </si>
  <si>
    <t>SC</t>
  </si>
  <si>
    <t>WAS</t>
  </si>
  <si>
    <t>IE</t>
  </si>
  <si>
    <t>OT</t>
  </si>
  <si>
    <t>CS</t>
  </si>
  <si>
    <t>Intro CERT</t>
  </si>
  <si>
    <t>SP CERT</t>
  </si>
  <si>
    <t>Theory</t>
  </si>
  <si>
    <t>Accreditation</t>
  </si>
  <si>
    <t>EM</t>
  </si>
  <si>
    <t>VM/WAS</t>
  </si>
  <si>
    <t>TPM</t>
  </si>
  <si>
    <t>Req</t>
  </si>
  <si>
    <t>1 out of 2</t>
  </si>
  <si>
    <t>2 out of 3</t>
  </si>
  <si>
    <t>SHIELD SECURITY TECNOLOGIA</t>
  </si>
  <si>
    <t>Shield</t>
  </si>
  <si>
    <t>Gabriel Tavares</t>
  </si>
  <si>
    <t>Gold</t>
  </si>
  <si>
    <t>OK</t>
  </si>
  <si>
    <t>Accredited</t>
  </si>
  <si>
    <t>medium</t>
  </si>
  <si>
    <t>high</t>
  </si>
  <si>
    <t>low</t>
  </si>
  <si>
    <t>TDec Redes de Computadores Ltda</t>
  </si>
  <si>
    <t>TDEC</t>
  </si>
  <si>
    <t>Omar Cavalcante</t>
  </si>
  <si>
    <t>Omar</t>
  </si>
  <si>
    <t>ASPER TECNOLOGIA – RIO DE JANEIRO LTDA</t>
  </si>
  <si>
    <t>Asper</t>
  </si>
  <si>
    <t>Josiane</t>
  </si>
  <si>
    <t>Silver</t>
  </si>
  <si>
    <t>XSite</t>
  </si>
  <si>
    <t>XSITE</t>
  </si>
  <si>
    <t>Alexos</t>
  </si>
  <si>
    <t>Deraldo/Yueslly</t>
  </si>
  <si>
    <t>ISH Tecnologia SA</t>
  </si>
  <si>
    <t>ISH</t>
  </si>
  <si>
    <t>Nelson Coimbra</t>
  </si>
  <si>
    <t>Platinum</t>
  </si>
  <si>
    <t>Thiago</t>
  </si>
  <si>
    <t>GLOBAL SEC. TECNOLOGIA &amp; INFORMACAO EIRELI</t>
  </si>
  <si>
    <t>GlobaslSec</t>
  </si>
  <si>
    <t>Lucas</t>
  </si>
  <si>
    <t>Netsecurity Tecnologia LTDA</t>
  </si>
  <si>
    <t>NetSecurity</t>
  </si>
  <si>
    <t>Fernando/Denise</t>
  </si>
  <si>
    <t>Future Technologies Informatica Ltda</t>
  </si>
  <si>
    <t>Future</t>
  </si>
  <si>
    <t>Matheus</t>
  </si>
  <si>
    <t>ACCENTURE DO BRASIL LTDA</t>
  </si>
  <si>
    <t>Accenture</t>
  </si>
  <si>
    <t>Lucas Teixeira</t>
  </si>
  <si>
    <t>Under Protection Consultoria em Informatica LTDA</t>
  </si>
  <si>
    <t>Under Protection</t>
  </si>
  <si>
    <t>Wagner</t>
  </si>
  <si>
    <t>Kryptus Seguranca da Informacao SA</t>
  </si>
  <si>
    <t>Kryptus</t>
  </si>
  <si>
    <t>Jean Bertolino</t>
  </si>
  <si>
    <t>Bronze</t>
  </si>
  <si>
    <t>In Progress</t>
  </si>
  <si>
    <t>e-Safer</t>
  </si>
  <si>
    <t>E-Safer</t>
  </si>
  <si>
    <t>Sergio Lima</t>
  </si>
  <si>
    <t>001f200001xtmLIAAY</t>
  </si>
  <si>
    <t>Servix Informática Ltda</t>
  </si>
  <si>
    <t>Servix</t>
  </si>
  <si>
    <t>Noah Nascimento</t>
  </si>
  <si>
    <t>VM-SE</t>
  </si>
  <si>
    <t>VM-Sales</t>
  </si>
  <si>
    <t>CS-SE</t>
  </si>
  <si>
    <t>CS-Sales</t>
  </si>
  <si>
    <t>OT-SE</t>
  </si>
  <si>
    <t>OT-Sales</t>
  </si>
  <si>
    <t>IE-SE</t>
  </si>
  <si>
    <t>IE-Sales</t>
  </si>
  <si>
    <t>ASM-SE</t>
  </si>
  <si>
    <t>ASM-Sales</t>
  </si>
  <si>
    <t>Nessus</t>
  </si>
  <si>
    <t>ONE-SE</t>
  </si>
  <si>
    <t>ONE-Sales</t>
  </si>
  <si>
    <t>MSSP</t>
  </si>
  <si>
    <t>Guardian Name</t>
  </si>
  <si>
    <t>Email</t>
  </si>
  <si>
    <t>Specialist Course</t>
  </si>
  <si>
    <t>TCSA</t>
  </si>
  <si>
    <t>TCSE</t>
  </si>
  <si>
    <t>TCDE</t>
  </si>
  <si>
    <t>Obs</t>
  </si>
  <si>
    <t>Daniel Batista</t>
  </si>
  <si>
    <t>daniel.batista@shieldsec.com.br</t>
  </si>
  <si>
    <t>faltam provas</t>
  </si>
  <si>
    <t>Enalta Diniz</t>
  </si>
  <si>
    <t>elnata.diniz@shieldsec.com.br</t>
  </si>
  <si>
    <t>Raul Carbonari</t>
  </si>
  <si>
    <t>rcarbonari@tdec.com.br</t>
  </si>
  <si>
    <t>David Celestino</t>
  </si>
  <si>
    <t>david.celestino@asper.tec.br</t>
  </si>
  <si>
    <t>Avner Nahum</t>
  </si>
  <si>
    <t>avner.nahum@asper.tec.br</t>
  </si>
  <si>
    <t>Lucas Vasconcelos</t>
  </si>
  <si>
    <t>lucas.silva@globalsectec.com.br</t>
  </si>
  <si>
    <t>GlobalSec</t>
  </si>
  <si>
    <t>realizando curso intro para liberar especialista</t>
  </si>
  <si>
    <t>TBD</t>
  </si>
  <si>
    <t>aguardando o nelson</t>
  </si>
  <si>
    <t>Alessandro Vitalino</t>
  </si>
  <si>
    <t>alessandro.vitalino@netsecurity.com.br</t>
  </si>
  <si>
    <t>Netsecurity</t>
  </si>
  <si>
    <t>cursos liberados</t>
  </si>
  <si>
    <t>Gutenberg Brito</t>
  </si>
  <si>
    <t>gutenberg.brito@netsecurity.com.br</t>
  </si>
  <si>
    <t>Marco Leissman</t>
  </si>
  <si>
    <t>marco.leissmann@underprotection.com.br</t>
  </si>
  <si>
    <t>Underprotection</t>
  </si>
  <si>
    <t>liberar treinamentos. finalizando online</t>
  </si>
  <si>
    <t>Ney Gelbcke Junior</t>
  </si>
  <si>
    <t>ney.gelbcke@underprotection.com.br</t>
  </si>
  <si>
    <t>Yueslly Lisboa</t>
  </si>
  <si>
    <t>yueslly.lisboa@xsite.com.br</t>
  </si>
  <si>
    <t>IT Protect</t>
  </si>
  <si>
    <t>IT PROTECT SERVICOS DE CONSULTORIA EM INFORMATICA EIRELI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</si>
</sst>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6"/>
      <color rgb="FFFFFFFF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1">
    <xf numFmtId="0" fontId="0" fillId="0" borderId="0" xfId="0" applyBorder="1"/>
    <xf numFmtId="0" fontId="1" fillId="0" borderId="0" xfId="0" applyFont="1" applyBorder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6" borderId="5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4" borderId="9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8" borderId="10" xfId="0" applyFont="1" applyFill="1"/>
    <xf numFmtId="0" fontId="2" fillId="9" borderId="5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2" fillId="11" borderId="11" xfId="0" applyFont="1" applyFill="1" applyBorder="1"/>
    <xf numFmtId="0" fontId="2" fillId="11" borderId="12" xfId="0" applyFont="1" applyFill="1" applyBorder="1"/>
    <xf numFmtId="0" fontId="2" fillId="11" borderId="9" xfId="0" applyFont="1" applyFill="1" applyBorder="1"/>
    <xf numFmtId="0" fontId="2" fillId="11" borderId="5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center"/>
    </xf>
    <xf numFmtId="0" fontId="4" fillId="0" borderId="0" xfId="0" applyFont="1" applyBorder="1"/>
    <xf numFmtId="0" fontId="4" fillId="0" borderId="5" xfId="0" applyFont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/>
    <xf numFmtId="0" fontId="5" fillId="0" borderId="0" xfId="0" applyFont="1" applyBorder="1"/>
    <xf numFmtId="0" fontId="4" fillId="0" borderId="0" xfId="0" applyFont="1" applyBorder="1" applyAlignment="1">
      <alignment horizontal="center"/>
    </xf>
    <xf numFmtId="0" fontId="2" fillId="3" borderId="14" xfId="0" applyFont="1" applyFill="1" applyBorder="1"/>
    <xf numFmtId="0" fontId="3" fillId="12" borderId="5" xfId="0" applyFont="1" applyFill="1" applyBorder="1" applyAlignment="1">
      <alignment horizontal="center"/>
    </xf>
    <xf numFmtId="0" fontId="0" fillId="0" borderId="9" xfId="0" applyBorder="1"/>
    <xf numFmtId="0" fontId="1" fillId="2" borderId="5" xfId="0" applyFont="1" applyFill="1" applyBorder="1" applyAlignment="1">
      <alignment horizontal="center"/>
    </xf>
    <xf numFmtId="0" fontId="0" fillId="0" borderId="12" xfId="0" applyBorder="1"/>
    <xf numFmtId="0" fontId="2" fillId="4" borderId="5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4" fillId="14" borderId="0" xfId="0" applyFont="1" applyFill="1" applyBorder="1"/>
    <xf numFmtId="0" fontId="4" fillId="0" borderId="10" xfId="0" applyFont="1" applyFill="1" applyBorder="1"/>
    <xf numFmtId="0" fontId="4" fillId="14" borderId="10" xfId="0" applyFont="1" applyFill="1" applyBorder="1"/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0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 x14ac:dyDescent="0.15"/>
  <cols>
    <col min="1" max="1" width="12.1640625" customWidth="1"/>
    <col min="2" max="2" width="44.83203125" bestFit="1" customWidth="1"/>
    <col min="3" max="3" width="13.6640625" customWidth="1"/>
    <col min="4" max="4" width="19.1640625" customWidth="1"/>
    <col min="5" max="5" width="8.1640625" customWidth="1"/>
    <col min="6" max="6" width="4.33203125" customWidth="1"/>
    <col min="7" max="13" width="4.6640625" customWidth="1"/>
    <col min="14" max="14" width="9.5" customWidth="1"/>
    <col min="15" max="20" width="4.83203125" customWidth="1"/>
    <col min="21" max="21" width="9.5" customWidth="1"/>
    <col min="22" max="22" width="6.5" customWidth="1"/>
    <col min="23" max="23" width="11.6640625" customWidth="1"/>
  </cols>
  <sheetData>
    <row r="1" spans="1:32" ht="19.5" customHeight="1" x14ac:dyDescent="0.2">
      <c r="A1" s="1"/>
      <c r="B1" s="1"/>
      <c r="C1" s="1"/>
      <c r="D1" s="1"/>
      <c r="E1" s="1"/>
      <c r="F1" s="1"/>
      <c r="G1" s="32" t="s">
        <v>0</v>
      </c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1"/>
      <c r="V1" s="32" t="s">
        <v>1</v>
      </c>
      <c r="W1" s="31"/>
      <c r="X1" s="32" t="s">
        <v>2</v>
      </c>
      <c r="Y1" s="33"/>
      <c r="Z1" s="33"/>
      <c r="AA1" s="33"/>
      <c r="AB1" s="33"/>
      <c r="AC1" s="33"/>
      <c r="AD1" s="33"/>
      <c r="AE1" s="33"/>
      <c r="AF1" s="31"/>
    </row>
    <row r="2" spans="1:32" ht="12.75" customHeight="1" x14ac:dyDescent="0.15">
      <c r="A2" s="2"/>
      <c r="B2" s="29"/>
      <c r="C2" s="3"/>
      <c r="D2" s="3"/>
      <c r="E2" s="3"/>
      <c r="F2" s="4"/>
      <c r="G2" s="34" t="s">
        <v>3</v>
      </c>
      <c r="H2" s="33"/>
      <c r="I2" s="33"/>
      <c r="J2" s="33"/>
      <c r="K2" s="33"/>
      <c r="L2" s="33"/>
      <c r="M2" s="33"/>
      <c r="N2" s="31"/>
      <c r="O2" s="35" t="s">
        <v>4</v>
      </c>
      <c r="P2" s="33"/>
      <c r="Q2" s="33"/>
      <c r="R2" s="33"/>
      <c r="S2" s="33"/>
      <c r="T2" s="33"/>
      <c r="U2" s="31"/>
      <c r="V2" s="5" t="s">
        <v>5</v>
      </c>
      <c r="W2" s="6" t="s">
        <v>6</v>
      </c>
      <c r="X2" s="7" t="s">
        <v>7</v>
      </c>
      <c r="Y2" s="36" t="s">
        <v>8</v>
      </c>
      <c r="Z2" s="33"/>
      <c r="AA2" s="33"/>
      <c r="AB2" s="31"/>
      <c r="AC2" s="37" t="s">
        <v>9</v>
      </c>
      <c r="AD2" s="33"/>
      <c r="AE2" s="33"/>
      <c r="AF2" s="31"/>
    </row>
    <row r="3" spans="1:32" ht="12.75" customHeight="1" x14ac:dyDescent="0.15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10"/>
      <c r="G3" s="11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3" t="s">
        <v>15</v>
      </c>
      <c r="P3" s="13" t="s">
        <v>16</v>
      </c>
      <c r="Q3" s="13" t="s">
        <v>17</v>
      </c>
      <c r="R3" s="13" t="s">
        <v>19</v>
      </c>
      <c r="S3" s="13" t="s">
        <v>20</v>
      </c>
      <c r="T3" s="13" t="s">
        <v>21</v>
      </c>
      <c r="U3" s="13" t="s">
        <v>23</v>
      </c>
      <c r="V3" s="5" t="s">
        <v>24</v>
      </c>
      <c r="W3" s="6" t="s">
        <v>25</v>
      </c>
      <c r="X3" s="14"/>
      <c r="Y3" s="15" t="s">
        <v>26</v>
      </c>
      <c r="Z3" s="15" t="s">
        <v>27</v>
      </c>
      <c r="AA3" s="15" t="s">
        <v>21</v>
      </c>
      <c r="AB3" s="15" t="s">
        <v>28</v>
      </c>
      <c r="AC3" s="16" t="s">
        <v>26</v>
      </c>
      <c r="AD3" s="16" t="s">
        <v>27</v>
      </c>
      <c r="AE3" s="16" t="s">
        <v>21</v>
      </c>
      <c r="AF3" s="16" t="s">
        <v>28</v>
      </c>
    </row>
    <row r="4" spans="1:32" ht="12.75" customHeight="1" x14ac:dyDescent="0.15">
      <c r="A4" s="17"/>
      <c r="B4" s="18"/>
      <c r="C4" s="18"/>
      <c r="D4" s="18"/>
      <c r="E4" s="18"/>
      <c r="F4" s="19"/>
      <c r="G4" s="20" t="s">
        <v>29</v>
      </c>
      <c r="H4" s="30" t="s">
        <v>30</v>
      </c>
      <c r="I4" s="31"/>
      <c r="J4" s="20" t="s">
        <v>29</v>
      </c>
      <c r="K4" s="20" t="s">
        <v>29</v>
      </c>
      <c r="L4" s="20" t="s">
        <v>29</v>
      </c>
      <c r="M4" s="20" t="s">
        <v>29</v>
      </c>
      <c r="N4" s="20" t="s">
        <v>29</v>
      </c>
      <c r="O4" s="20" t="s">
        <v>29</v>
      </c>
      <c r="P4" s="30" t="s">
        <v>30</v>
      </c>
      <c r="Q4" s="31"/>
      <c r="R4" s="30" t="s">
        <v>31</v>
      </c>
      <c r="S4" s="33"/>
      <c r="T4" s="31"/>
      <c r="U4" s="20" t="s">
        <v>29</v>
      </c>
      <c r="V4" s="20" t="s">
        <v>29</v>
      </c>
      <c r="W4" s="20" t="s">
        <v>29</v>
      </c>
      <c r="X4" s="20" t="s">
        <v>29</v>
      </c>
      <c r="Y4" s="21"/>
      <c r="Z4" s="21"/>
      <c r="AA4" s="21"/>
      <c r="AB4" s="21"/>
      <c r="AC4" s="21"/>
      <c r="AD4" s="21"/>
      <c r="AE4" s="21"/>
      <c r="AF4" s="21"/>
    </row>
    <row r="5" spans="1:32" ht="12.75" customHeight="1" x14ac:dyDescent="0.15">
      <c r="A5" s="22">
        <v>581437</v>
      </c>
      <c r="B5" s="22" t="s">
        <v>32</v>
      </c>
      <c r="C5" s="38" t="s">
        <v>33</v>
      </c>
      <c r="D5" s="22" t="s">
        <v>34</v>
      </c>
      <c r="E5" s="22" t="s">
        <v>35</v>
      </c>
      <c r="G5" s="23" t="s">
        <v>36</v>
      </c>
      <c r="H5" s="23" t="s">
        <v>36</v>
      </c>
      <c r="I5" s="23" t="s">
        <v>36</v>
      </c>
      <c r="J5" s="23"/>
      <c r="K5" s="23" t="s">
        <v>36</v>
      </c>
      <c r="L5" s="23" t="s">
        <v>36</v>
      </c>
      <c r="M5" s="23" t="s">
        <v>36</v>
      </c>
      <c r="N5" s="23" t="s">
        <v>37</v>
      </c>
      <c r="O5" s="23"/>
      <c r="P5" s="23" t="s">
        <v>36</v>
      </c>
      <c r="Q5" s="23"/>
      <c r="R5" s="23"/>
      <c r="S5" s="23" t="s">
        <v>36</v>
      </c>
      <c r="T5" s="23" t="s">
        <v>36</v>
      </c>
      <c r="U5" s="23" t="str">
        <f t="shared" ref="U5:U17" si="0">IF(AND(O5&lt;&gt;"", OR(P5&lt;&gt;"", Q5&lt;&gt;""), OR(AND(R5&lt;&gt;"", S5&lt;&gt;""), AND(S5&lt;&gt;"", T5&lt;&gt;""), AND(R5&lt;&gt;"", T5&lt;&gt;""))), "Accredited", "In Progress")</f>
        <v>In Progress</v>
      </c>
      <c r="V5" s="24" t="s">
        <v>36</v>
      </c>
      <c r="W5" s="23" t="str">
        <f t="shared" ref="W5:W14" si="1">IF(AND(N5="Accredited", U5="Accredited",V5&lt;&gt;""), "Accredited", "In Progress")</f>
        <v>In Progress</v>
      </c>
      <c r="X5" s="25"/>
      <c r="Y5" s="23" t="s">
        <v>38</v>
      </c>
      <c r="Z5" s="23" t="s">
        <v>39</v>
      </c>
      <c r="AA5" s="23" t="s">
        <v>39</v>
      </c>
      <c r="AB5" s="23" t="s">
        <v>38</v>
      </c>
      <c r="AC5" s="23" t="s">
        <v>38</v>
      </c>
      <c r="AD5" s="23" t="s">
        <v>39</v>
      </c>
      <c r="AE5" s="23" t="s">
        <v>38</v>
      </c>
      <c r="AF5" s="23" t="s">
        <v>40</v>
      </c>
    </row>
    <row r="6" spans="1:32" ht="12.75" customHeight="1" x14ac:dyDescent="0.15">
      <c r="A6" s="22">
        <v>390733</v>
      </c>
      <c r="B6" s="22" t="s">
        <v>41</v>
      </c>
      <c r="C6" s="38" t="s">
        <v>42</v>
      </c>
      <c r="D6" s="22" t="s">
        <v>43</v>
      </c>
      <c r="E6" s="22" t="s">
        <v>35</v>
      </c>
      <c r="G6" s="23"/>
      <c r="H6" s="23"/>
      <c r="I6" s="23" t="s">
        <v>36</v>
      </c>
      <c r="J6" s="23"/>
      <c r="K6" s="23"/>
      <c r="L6" s="23" t="s">
        <v>36</v>
      </c>
      <c r="M6" s="23"/>
      <c r="N6" s="23" t="str">
        <f t="shared" ref="N6:N13" si="2">IF(AND(G6&lt;&gt;"", OR(H6&lt;&gt;"", I6&lt;&gt;""), J6&lt;&gt;"", K6&lt;&gt;"", L6&lt;&gt;"", M6&lt;&gt;""), "Accredited", "In Progress")</f>
        <v>In Progress</v>
      </c>
      <c r="O6" s="23"/>
      <c r="P6" s="23"/>
      <c r="Q6" s="23"/>
      <c r="R6" s="23"/>
      <c r="S6" s="23"/>
      <c r="T6" s="23"/>
      <c r="U6" s="23" t="str">
        <f t="shared" si="0"/>
        <v>In Progress</v>
      </c>
      <c r="V6" s="26"/>
      <c r="W6" s="23" t="str">
        <f t="shared" si="1"/>
        <v>In Progress</v>
      </c>
      <c r="X6" s="25" t="s">
        <v>44</v>
      </c>
      <c r="Y6" s="23" t="s">
        <v>39</v>
      </c>
      <c r="Z6" s="23" t="s">
        <v>39</v>
      </c>
      <c r="AA6" s="23" t="s">
        <v>39</v>
      </c>
      <c r="AB6" s="23" t="s">
        <v>38</v>
      </c>
      <c r="AC6" s="23" t="s">
        <v>39</v>
      </c>
      <c r="AD6" s="23" t="s">
        <v>39</v>
      </c>
      <c r="AE6" s="23" t="s">
        <v>38</v>
      </c>
      <c r="AF6" s="23" t="s">
        <v>40</v>
      </c>
    </row>
    <row r="7" spans="1:32" ht="12.75" customHeight="1" x14ac:dyDescent="0.15">
      <c r="A7" s="22">
        <v>739732</v>
      </c>
      <c r="B7" s="22" t="s">
        <v>45</v>
      </c>
      <c r="C7" s="38" t="s">
        <v>46</v>
      </c>
      <c r="D7" s="22" t="s">
        <v>47</v>
      </c>
      <c r="E7" s="22" t="s">
        <v>48</v>
      </c>
      <c r="G7" s="23" t="s">
        <v>36</v>
      </c>
      <c r="H7" s="23" t="s">
        <v>36</v>
      </c>
      <c r="I7" s="23" t="s">
        <v>36</v>
      </c>
      <c r="J7" s="23"/>
      <c r="K7" s="23"/>
      <c r="L7" s="23" t="s">
        <v>36</v>
      </c>
      <c r="M7" s="23"/>
      <c r="N7" s="23" t="str">
        <f t="shared" si="2"/>
        <v>In Progress</v>
      </c>
      <c r="O7" s="23"/>
      <c r="P7" s="23" t="s">
        <v>36</v>
      </c>
      <c r="Q7" s="23"/>
      <c r="R7" s="23"/>
      <c r="S7" s="23"/>
      <c r="T7" s="23"/>
      <c r="U7" s="23" t="str">
        <f t="shared" si="0"/>
        <v>In Progress</v>
      </c>
      <c r="V7" s="26"/>
      <c r="W7" s="23" t="str">
        <f t="shared" si="1"/>
        <v>In Progress</v>
      </c>
      <c r="X7" s="25"/>
      <c r="Y7" s="23" t="s">
        <v>38</v>
      </c>
      <c r="Z7" s="23" t="s">
        <v>39</v>
      </c>
      <c r="AA7" s="23" t="s">
        <v>39</v>
      </c>
      <c r="AB7" s="23" t="s">
        <v>39</v>
      </c>
      <c r="AC7" s="23" t="s">
        <v>38</v>
      </c>
      <c r="AD7" s="23" t="s">
        <v>39</v>
      </c>
      <c r="AE7" s="23" t="s">
        <v>38</v>
      </c>
      <c r="AF7" s="23" t="s">
        <v>40</v>
      </c>
    </row>
    <row r="8" spans="1:32" ht="12.75" customHeight="1" x14ac:dyDescent="0.15">
      <c r="A8" s="22">
        <v>579399</v>
      </c>
      <c r="B8" s="22" t="s">
        <v>49</v>
      </c>
      <c r="C8" s="38" t="s">
        <v>50</v>
      </c>
      <c r="D8" s="22" t="s">
        <v>51</v>
      </c>
      <c r="E8" s="22" t="s">
        <v>35</v>
      </c>
      <c r="G8" s="23"/>
      <c r="H8" s="23" t="s">
        <v>36</v>
      </c>
      <c r="I8" s="23" t="s">
        <v>36</v>
      </c>
      <c r="J8" s="23"/>
      <c r="K8" s="23" t="s">
        <v>36</v>
      </c>
      <c r="L8" s="23" t="s">
        <v>36</v>
      </c>
      <c r="M8" s="23" t="s">
        <v>36</v>
      </c>
      <c r="N8" s="23" t="str">
        <f t="shared" si="2"/>
        <v>In Progress</v>
      </c>
      <c r="O8" s="23"/>
      <c r="P8" s="23" t="s">
        <v>36</v>
      </c>
      <c r="Q8" s="23"/>
      <c r="R8" s="23"/>
      <c r="S8" s="23"/>
      <c r="T8" s="23" t="s">
        <v>36</v>
      </c>
      <c r="U8" s="23" t="str">
        <f t="shared" si="0"/>
        <v>In Progress</v>
      </c>
      <c r="V8" s="26"/>
      <c r="W8" s="23" t="str">
        <f t="shared" si="1"/>
        <v>In Progress</v>
      </c>
      <c r="X8" s="25" t="s">
        <v>52</v>
      </c>
      <c r="Y8" s="23" t="s">
        <v>38</v>
      </c>
      <c r="Z8" s="23" t="s">
        <v>39</v>
      </c>
      <c r="AA8" s="23" t="s">
        <v>39</v>
      </c>
      <c r="AB8" s="23" t="s">
        <v>38</v>
      </c>
      <c r="AC8" s="23" t="s">
        <v>38</v>
      </c>
      <c r="AD8" s="23" t="s">
        <v>39</v>
      </c>
      <c r="AE8" s="23" t="s">
        <v>39</v>
      </c>
      <c r="AF8" s="23" t="s">
        <v>38</v>
      </c>
    </row>
    <row r="9" spans="1:32" ht="12.75" customHeight="1" x14ac:dyDescent="0.15">
      <c r="A9" s="22">
        <v>397166</v>
      </c>
      <c r="B9" s="22" t="s">
        <v>53</v>
      </c>
      <c r="C9" s="38" t="s">
        <v>54</v>
      </c>
      <c r="D9" s="22" t="s">
        <v>55</v>
      </c>
      <c r="E9" s="22" t="s">
        <v>56</v>
      </c>
      <c r="G9" s="23" t="s">
        <v>36</v>
      </c>
      <c r="H9" s="23" t="s">
        <v>36</v>
      </c>
      <c r="I9" s="23" t="s">
        <v>36</v>
      </c>
      <c r="J9" s="23"/>
      <c r="K9" s="23" t="s">
        <v>36</v>
      </c>
      <c r="L9" s="23" t="s">
        <v>36</v>
      </c>
      <c r="M9" s="23" t="s">
        <v>36</v>
      </c>
      <c r="N9" s="23" t="str">
        <f t="shared" si="2"/>
        <v>In Progress</v>
      </c>
      <c r="O9" s="23"/>
      <c r="P9" s="23" t="s">
        <v>36</v>
      </c>
      <c r="Q9" s="23"/>
      <c r="R9" s="23"/>
      <c r="S9" s="23"/>
      <c r="T9" s="23" t="s">
        <v>36</v>
      </c>
      <c r="U9" s="23" t="str">
        <f t="shared" si="0"/>
        <v>In Progress</v>
      </c>
      <c r="V9" s="24" t="s">
        <v>36</v>
      </c>
      <c r="W9" s="23" t="str">
        <f t="shared" si="1"/>
        <v>In Progress</v>
      </c>
      <c r="X9" s="25" t="s">
        <v>57</v>
      </c>
      <c r="Y9" s="23" t="s">
        <v>38</v>
      </c>
      <c r="Z9" s="23" t="s">
        <v>39</v>
      </c>
      <c r="AA9" s="23" t="s">
        <v>39</v>
      </c>
      <c r="AB9" s="23" t="s">
        <v>38</v>
      </c>
      <c r="AC9" s="23" t="s">
        <v>38</v>
      </c>
      <c r="AD9" s="23" t="s">
        <v>39</v>
      </c>
      <c r="AE9" s="23" t="s">
        <v>39</v>
      </c>
      <c r="AF9" s="23" t="s">
        <v>38</v>
      </c>
    </row>
    <row r="10" spans="1:32" ht="12.75" customHeight="1" x14ac:dyDescent="0.15">
      <c r="A10" s="22">
        <v>993857</v>
      </c>
      <c r="B10" s="22" t="s">
        <v>58</v>
      </c>
      <c r="C10" s="38" t="s">
        <v>59</v>
      </c>
      <c r="D10" s="22" t="s">
        <v>60</v>
      </c>
      <c r="E10" s="22" t="s">
        <v>56</v>
      </c>
      <c r="G10" s="23"/>
      <c r="H10" s="23"/>
      <c r="I10" s="23"/>
      <c r="J10" s="23"/>
      <c r="K10" s="23"/>
      <c r="L10" s="23" t="s">
        <v>36</v>
      </c>
      <c r="M10" s="23"/>
      <c r="N10" s="23" t="str">
        <f t="shared" si="2"/>
        <v>In Progress</v>
      </c>
      <c r="O10" s="23"/>
      <c r="P10" s="23"/>
      <c r="Q10" s="23"/>
      <c r="R10" s="23"/>
      <c r="S10" s="23"/>
      <c r="T10" s="23"/>
      <c r="U10" s="23" t="str">
        <f t="shared" si="0"/>
        <v>In Progress</v>
      </c>
      <c r="V10" s="26"/>
      <c r="W10" s="23" t="str">
        <f t="shared" si="1"/>
        <v>In Progress</v>
      </c>
      <c r="X10" s="25"/>
      <c r="Y10" s="23"/>
      <c r="Z10" s="23"/>
      <c r="AA10" s="23"/>
      <c r="AB10" s="23"/>
      <c r="AC10" s="23"/>
      <c r="AD10" s="23"/>
      <c r="AE10" s="23"/>
      <c r="AF10" s="23"/>
    </row>
    <row r="11" spans="1:32" ht="12.75" customHeight="1" x14ac:dyDescent="0.15">
      <c r="A11" s="22">
        <v>510201</v>
      </c>
      <c r="B11" s="22" t="s">
        <v>61</v>
      </c>
      <c r="C11" s="38" t="s">
        <v>62</v>
      </c>
      <c r="D11" s="22" t="s">
        <v>63</v>
      </c>
      <c r="E11" s="22" t="s">
        <v>35</v>
      </c>
      <c r="G11" s="23"/>
      <c r="H11" s="23" t="s">
        <v>36</v>
      </c>
      <c r="I11" s="23" t="s">
        <v>36</v>
      </c>
      <c r="J11" s="23"/>
      <c r="K11" s="23" t="s">
        <v>36</v>
      </c>
      <c r="L11" s="23" t="s">
        <v>36</v>
      </c>
      <c r="M11" s="23" t="s">
        <v>36</v>
      </c>
      <c r="N11" s="23" t="str">
        <f t="shared" si="2"/>
        <v>In Progress</v>
      </c>
      <c r="O11" s="23"/>
      <c r="P11" s="23" t="s">
        <v>36</v>
      </c>
      <c r="Q11" s="23"/>
      <c r="R11" s="23"/>
      <c r="S11" s="23"/>
      <c r="T11" s="23"/>
      <c r="U11" s="23" t="str">
        <f t="shared" si="0"/>
        <v>In Progress</v>
      </c>
      <c r="V11" s="26"/>
      <c r="W11" s="23" t="str">
        <f t="shared" si="1"/>
        <v>In Progress</v>
      </c>
      <c r="X11" s="25"/>
      <c r="Y11" s="23" t="s">
        <v>39</v>
      </c>
      <c r="Z11" s="23" t="s">
        <v>39</v>
      </c>
      <c r="AA11" s="23" t="s">
        <v>38</v>
      </c>
      <c r="AB11" s="23" t="s">
        <v>38</v>
      </c>
      <c r="AC11" s="23" t="s">
        <v>40</v>
      </c>
      <c r="AD11" s="23" t="s">
        <v>39</v>
      </c>
      <c r="AE11" s="23" t="s">
        <v>40</v>
      </c>
      <c r="AF11" s="23" t="s">
        <v>38</v>
      </c>
    </row>
    <row r="12" spans="1:32" ht="12.75" customHeight="1" x14ac:dyDescent="0.15">
      <c r="A12" s="22">
        <v>458265</v>
      </c>
      <c r="B12" s="22" t="s">
        <v>64</v>
      </c>
      <c r="C12" s="38" t="s">
        <v>65</v>
      </c>
      <c r="D12" s="22" t="s">
        <v>66</v>
      </c>
      <c r="E12" s="22" t="s">
        <v>48</v>
      </c>
      <c r="G12" s="23"/>
      <c r="H12" s="23" t="s">
        <v>36</v>
      </c>
      <c r="I12" s="23" t="s">
        <v>36</v>
      </c>
      <c r="J12" s="23"/>
      <c r="K12" s="23"/>
      <c r="L12" s="23" t="s">
        <v>36</v>
      </c>
      <c r="M12" s="23"/>
      <c r="N12" s="23" t="str">
        <f t="shared" si="2"/>
        <v>In Progress</v>
      </c>
      <c r="O12" s="23"/>
      <c r="P12" s="23" t="s">
        <v>36</v>
      </c>
      <c r="Q12" s="23"/>
      <c r="R12" s="23"/>
      <c r="S12" s="23"/>
      <c r="T12" s="23"/>
      <c r="U12" s="23" t="str">
        <f t="shared" si="0"/>
        <v>In Progress</v>
      </c>
      <c r="V12" s="26"/>
      <c r="W12" s="23" t="str">
        <f t="shared" si="1"/>
        <v>In Progress</v>
      </c>
      <c r="X12" s="25"/>
      <c r="Y12" s="23"/>
      <c r="Z12" s="23"/>
      <c r="AA12" s="23"/>
      <c r="AB12" s="23"/>
      <c r="AC12" s="23"/>
      <c r="AD12" s="23"/>
      <c r="AE12" s="23"/>
      <c r="AF12" s="23"/>
    </row>
    <row r="13" spans="1:32" ht="12.75" customHeight="1" x14ac:dyDescent="0.15">
      <c r="A13" s="22">
        <v>119472</v>
      </c>
      <c r="B13" s="22" t="s">
        <v>67</v>
      </c>
      <c r="C13" s="38" t="s">
        <v>68</v>
      </c>
      <c r="D13" s="22" t="s">
        <v>69</v>
      </c>
      <c r="E13" s="22" t="s">
        <v>35</v>
      </c>
      <c r="G13" s="23"/>
      <c r="H13" s="23" t="s">
        <v>36</v>
      </c>
      <c r="I13" s="23"/>
      <c r="J13" s="23"/>
      <c r="K13" s="23"/>
      <c r="L13" s="23" t="s">
        <v>36</v>
      </c>
      <c r="M13" s="23" t="s">
        <v>36</v>
      </c>
      <c r="N13" s="23" t="str">
        <f t="shared" si="2"/>
        <v>In Progress</v>
      </c>
      <c r="O13" s="23"/>
      <c r="P13" s="23" t="s">
        <v>36</v>
      </c>
      <c r="Q13" s="23"/>
      <c r="R13" s="23"/>
      <c r="S13" s="23"/>
      <c r="T13" s="23"/>
      <c r="U13" s="23" t="str">
        <f t="shared" si="0"/>
        <v>In Progress</v>
      </c>
      <c r="V13" s="26" t="s">
        <v>36</v>
      </c>
      <c r="W13" s="23" t="str">
        <f t="shared" si="1"/>
        <v>In Progress</v>
      </c>
      <c r="X13" s="25"/>
      <c r="Y13" s="23"/>
      <c r="Z13" s="23"/>
      <c r="AA13" s="23"/>
      <c r="AB13" s="23"/>
      <c r="AC13" s="23"/>
      <c r="AD13" s="23"/>
      <c r="AE13" s="23"/>
      <c r="AF13" s="23"/>
    </row>
    <row r="14" spans="1:32" ht="12.75" customHeight="1" x14ac:dyDescent="0.15">
      <c r="A14" s="22">
        <v>106294</v>
      </c>
      <c r="B14" s="22" t="s">
        <v>70</v>
      </c>
      <c r="C14" s="38" t="s">
        <v>71</v>
      </c>
      <c r="D14" s="22" t="s">
        <v>72</v>
      </c>
      <c r="E14" s="22" t="s">
        <v>35</v>
      </c>
      <c r="G14" s="23" t="s">
        <v>36</v>
      </c>
      <c r="H14" s="23" t="s">
        <v>36</v>
      </c>
      <c r="I14" s="23" t="s">
        <v>36</v>
      </c>
      <c r="J14" s="23"/>
      <c r="K14" s="23" t="s">
        <v>36</v>
      </c>
      <c r="L14" s="23" t="s">
        <v>36</v>
      </c>
      <c r="M14" s="23" t="s">
        <v>36</v>
      </c>
      <c r="N14" s="23" t="s">
        <v>37</v>
      </c>
      <c r="O14" s="23"/>
      <c r="P14" s="23"/>
      <c r="Q14" s="23"/>
      <c r="R14" s="23"/>
      <c r="S14" s="23"/>
      <c r="T14" s="23"/>
      <c r="U14" s="23" t="str">
        <f t="shared" si="0"/>
        <v>In Progress</v>
      </c>
      <c r="V14" s="24" t="s">
        <v>36</v>
      </c>
      <c r="W14" s="23" t="str">
        <f t="shared" si="1"/>
        <v>In Progress</v>
      </c>
      <c r="X14" s="25"/>
      <c r="Y14" s="23" t="s">
        <v>38</v>
      </c>
      <c r="Z14" s="23" t="s">
        <v>39</v>
      </c>
      <c r="AA14" s="23" t="s">
        <v>39</v>
      </c>
      <c r="AB14" s="23" t="s">
        <v>39</v>
      </c>
      <c r="AC14" s="23" t="s">
        <v>38</v>
      </c>
      <c r="AD14" s="23" t="s">
        <v>39</v>
      </c>
      <c r="AE14" s="23" t="s">
        <v>39</v>
      </c>
      <c r="AF14" s="23" t="s">
        <v>39</v>
      </c>
    </row>
    <row r="15" spans="1:32" ht="12.75" customHeight="1" x14ac:dyDescent="0.15">
      <c r="A15" s="22">
        <v>543439</v>
      </c>
      <c r="B15" s="22" t="s">
        <v>73</v>
      </c>
      <c r="C15" s="22" t="s">
        <v>74</v>
      </c>
      <c r="D15" s="22" t="s">
        <v>75</v>
      </c>
      <c r="E15" s="22" t="s">
        <v>76</v>
      </c>
      <c r="G15" s="23"/>
      <c r="H15" s="23" t="s">
        <v>36</v>
      </c>
      <c r="I15" s="23"/>
      <c r="J15" s="23"/>
      <c r="K15" s="23"/>
      <c r="L15" s="23"/>
      <c r="M15" s="23" t="s">
        <v>36</v>
      </c>
      <c r="N15" s="23" t="str">
        <f>IF(AND(G15&lt;&gt;"", OR(H15&lt;&gt;"", I15&lt;&gt;""), J15&lt;&gt;"", K15&lt;&gt;"", L15&lt;&gt;"", M15&lt;&gt;""), "Accredited", "In Progress")</f>
        <v>In Progress</v>
      </c>
      <c r="O15" s="23"/>
      <c r="P15" s="23" t="s">
        <v>36</v>
      </c>
      <c r="Q15" s="23"/>
      <c r="R15" s="23"/>
      <c r="S15" s="23"/>
      <c r="T15" s="23"/>
      <c r="U15" s="23" t="str">
        <f t="shared" si="0"/>
        <v>In Progress</v>
      </c>
      <c r="V15" s="23"/>
      <c r="W15" s="23" t="s">
        <v>77</v>
      </c>
      <c r="X15" s="25"/>
      <c r="Y15" s="23"/>
      <c r="Z15" s="23"/>
      <c r="AA15" s="23"/>
      <c r="AB15" s="23"/>
      <c r="AC15" s="23"/>
      <c r="AD15" s="23"/>
      <c r="AE15" s="23"/>
      <c r="AF15" s="23"/>
    </row>
    <row r="16" spans="1:32" ht="12.75" customHeight="1" x14ac:dyDescent="0.15">
      <c r="A16" s="22">
        <v>686107</v>
      </c>
      <c r="B16" s="22" t="s">
        <v>78</v>
      </c>
      <c r="C16" s="22" t="s">
        <v>79</v>
      </c>
      <c r="D16" s="22" t="s">
        <v>80</v>
      </c>
      <c r="E16" s="22" t="s">
        <v>76</v>
      </c>
      <c r="G16" s="23"/>
      <c r="H16" s="23" t="s">
        <v>36</v>
      </c>
      <c r="I16" s="23"/>
      <c r="J16" s="23"/>
      <c r="K16" s="23"/>
      <c r="L16" s="23" t="s">
        <v>36</v>
      </c>
      <c r="M16" s="23" t="s">
        <v>36</v>
      </c>
      <c r="N16" s="23" t="str">
        <f>IF(AND(G16&lt;&gt;"", OR(H16&lt;&gt;"", I16&lt;&gt;""), J16&lt;&gt;"", K16&lt;&gt;"", L16&lt;&gt;"", M16&lt;&gt;""), "Accredited", "In Progress")</f>
        <v>In Progress</v>
      </c>
      <c r="O16" s="23"/>
      <c r="P16" s="23"/>
      <c r="Q16" s="23"/>
      <c r="R16" s="23"/>
      <c r="S16" s="23"/>
      <c r="T16" s="23"/>
      <c r="U16" s="23" t="str">
        <f t="shared" si="0"/>
        <v>In Progress</v>
      </c>
      <c r="V16" s="23"/>
      <c r="W16" s="23" t="str">
        <f>IF(AND(Q16&lt;&gt;"", OR(R16&lt;&gt;"", S16&lt;&gt;""), OR(AND(T16&lt;&gt;"", U16&lt;&gt;""), AND(U16&lt;&gt;"", V16&lt;&gt;""), AND(T16&lt;&gt;"", V16&lt;&gt;""))), "Accredited", "In Progress")</f>
        <v>In Progress</v>
      </c>
      <c r="X16" s="25"/>
      <c r="Y16" s="23"/>
      <c r="Z16" s="23"/>
      <c r="AA16" s="23"/>
      <c r="AB16" s="23"/>
      <c r="AC16" s="23"/>
      <c r="AD16" s="23"/>
      <c r="AE16" s="23"/>
      <c r="AF16" s="23"/>
    </row>
    <row r="17" spans="1:32" ht="12.75" customHeight="1" x14ac:dyDescent="0.15">
      <c r="A17" s="22" t="s">
        <v>81</v>
      </c>
      <c r="B17" s="22" t="s">
        <v>82</v>
      </c>
      <c r="C17" s="22" t="s">
        <v>83</v>
      </c>
      <c r="D17" s="22" t="s">
        <v>84</v>
      </c>
      <c r="E17" s="22" t="s">
        <v>76</v>
      </c>
      <c r="G17" s="23"/>
      <c r="H17" s="23" t="s">
        <v>36</v>
      </c>
      <c r="I17" s="23" t="s">
        <v>36</v>
      </c>
      <c r="J17" s="23"/>
      <c r="K17" s="23"/>
      <c r="L17" s="23"/>
      <c r="M17" s="23"/>
      <c r="N17" s="23" t="str">
        <f>IF(AND(G17&lt;&gt;"", OR(H17&lt;&gt;"", I17&lt;&gt;""), J17&lt;&gt;"", K17&lt;&gt;"", L17&lt;&gt;"", M17&lt;&gt;""), "Accredited", "In Progress")</f>
        <v>In Progress</v>
      </c>
      <c r="O17" s="23"/>
      <c r="P17" s="23" t="s">
        <v>36</v>
      </c>
      <c r="Q17" s="23"/>
      <c r="R17" s="23"/>
      <c r="S17" s="23"/>
      <c r="T17" s="23" t="s">
        <v>36</v>
      </c>
      <c r="U17" s="23" t="str">
        <f t="shared" si="0"/>
        <v>In Progress</v>
      </c>
      <c r="V17" s="23"/>
      <c r="W17" s="23" t="str">
        <f>IF(AND(N17="Accredited", U17="Accredited",V17&lt;&gt;""), "Accredited", "In Progress")</f>
        <v>In Progress</v>
      </c>
      <c r="X17" s="25"/>
      <c r="Y17" s="23"/>
      <c r="Z17" s="23"/>
      <c r="AA17" s="23"/>
      <c r="AB17" s="23"/>
      <c r="AC17" s="23"/>
      <c r="AD17" s="23"/>
      <c r="AE17" s="23"/>
      <c r="AF17" s="23"/>
    </row>
    <row r="18" spans="1:32" ht="12.75" customHeight="1" x14ac:dyDescent="0.15">
      <c r="B18" s="39" t="s">
        <v>138</v>
      </c>
      <c r="C18" s="40" t="s">
        <v>137</v>
      </c>
      <c r="D18" s="27"/>
      <c r="E18" s="22" t="s">
        <v>76</v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5"/>
      <c r="Y18" s="23"/>
      <c r="Z18" s="23"/>
      <c r="AA18" s="23"/>
      <c r="AB18" s="23"/>
      <c r="AC18" s="23"/>
      <c r="AD18" s="23"/>
      <c r="AE18" s="23"/>
      <c r="AF18" s="23"/>
    </row>
    <row r="19" spans="1:32" ht="12.75" customHeight="1" x14ac:dyDescent="0.15"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5"/>
      <c r="Y19" s="23"/>
      <c r="Z19" s="23"/>
      <c r="AA19" s="23"/>
      <c r="AB19" s="23"/>
      <c r="AC19" s="23"/>
      <c r="AD19" s="23"/>
      <c r="AE19" s="23"/>
      <c r="AF19" s="23"/>
    </row>
    <row r="20" spans="1:32" ht="12.75" customHeight="1" x14ac:dyDescent="0.15"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5"/>
      <c r="Y20" s="23"/>
      <c r="Z20" s="23"/>
      <c r="AA20" s="23"/>
      <c r="AB20" s="23"/>
      <c r="AC20" s="23"/>
      <c r="AD20" s="23"/>
      <c r="AE20" s="23"/>
      <c r="AF20" s="23"/>
    </row>
    <row r="21" spans="1:32" ht="12.75" customHeight="1" x14ac:dyDescent="0.15">
      <c r="O21" s="28"/>
      <c r="P21" s="28"/>
      <c r="Q21" s="28"/>
      <c r="R21" s="28"/>
      <c r="S21" s="28"/>
      <c r="T21" s="28"/>
      <c r="U21" s="28"/>
      <c r="W21" s="28"/>
    </row>
    <row r="22" spans="1:32" ht="12.75" customHeight="1" x14ac:dyDescent="0.15">
      <c r="O22" s="28"/>
      <c r="P22" s="28"/>
      <c r="Q22" s="28"/>
      <c r="R22" s="28"/>
      <c r="S22" s="28"/>
      <c r="T22" s="28"/>
      <c r="U22" s="28"/>
      <c r="W22" s="28"/>
    </row>
    <row r="23" spans="1:32" ht="12.75" customHeight="1" x14ac:dyDescent="0.15">
      <c r="O23" s="28"/>
      <c r="P23" s="28"/>
      <c r="Q23" s="28"/>
      <c r="R23" s="28"/>
      <c r="S23" s="28"/>
      <c r="T23" s="28"/>
      <c r="U23" s="28"/>
      <c r="W23" s="28"/>
    </row>
    <row r="24" spans="1:32" ht="12.75" customHeight="1" x14ac:dyDescent="0.15">
      <c r="O24" s="28"/>
      <c r="P24" s="28"/>
      <c r="Q24" s="28"/>
      <c r="R24" s="28"/>
      <c r="S24" s="28"/>
      <c r="T24" s="28"/>
      <c r="U24" s="28"/>
      <c r="W24" s="28"/>
    </row>
    <row r="25" spans="1:32" ht="12.75" customHeight="1" x14ac:dyDescent="0.15">
      <c r="O25" s="28"/>
      <c r="P25" s="28"/>
      <c r="Q25" s="28"/>
      <c r="R25" s="28"/>
      <c r="S25" s="28"/>
      <c r="T25" s="28"/>
      <c r="U25" s="28"/>
      <c r="W25" s="28"/>
    </row>
    <row r="26" spans="1:32" ht="12.75" customHeight="1" x14ac:dyDescent="0.15">
      <c r="O26" s="28"/>
      <c r="P26" s="28"/>
      <c r="Q26" s="28"/>
      <c r="R26" s="28"/>
      <c r="S26" s="28"/>
      <c r="T26" s="28"/>
      <c r="U26" s="28"/>
      <c r="W26" s="28"/>
    </row>
    <row r="27" spans="1:32" ht="12.75" customHeight="1" x14ac:dyDescent="0.15">
      <c r="O27" s="28"/>
      <c r="P27" s="28"/>
      <c r="Q27" s="28"/>
      <c r="R27" s="28"/>
      <c r="S27" s="28"/>
      <c r="T27" s="28"/>
      <c r="U27" s="28"/>
      <c r="W27" s="28"/>
    </row>
    <row r="28" spans="1:32" ht="12.75" customHeight="1" x14ac:dyDescent="0.15">
      <c r="O28" s="28"/>
      <c r="P28" s="28"/>
      <c r="Q28" s="28"/>
      <c r="R28" s="28"/>
      <c r="S28" s="28"/>
      <c r="T28" s="28"/>
      <c r="U28" s="28"/>
      <c r="W28" s="28"/>
    </row>
    <row r="29" spans="1:32" ht="12.75" customHeight="1" x14ac:dyDescent="0.15">
      <c r="O29" s="28"/>
      <c r="P29" s="28"/>
      <c r="Q29" s="28"/>
      <c r="R29" s="28"/>
      <c r="S29" s="28"/>
      <c r="T29" s="28"/>
      <c r="U29" s="28"/>
      <c r="W29" s="28"/>
    </row>
    <row r="30" spans="1:32" ht="12.75" customHeight="1" x14ac:dyDescent="0.15">
      <c r="O30" s="28"/>
      <c r="P30" s="28"/>
      <c r="Q30" s="28"/>
      <c r="R30" s="28"/>
      <c r="S30" s="28"/>
      <c r="T30" s="28"/>
      <c r="U30" s="28"/>
      <c r="W30" s="28"/>
    </row>
    <row r="31" spans="1:32" ht="12.75" customHeight="1" x14ac:dyDescent="0.15">
      <c r="O31" s="28"/>
      <c r="P31" s="28"/>
      <c r="Q31" s="28"/>
      <c r="R31" s="28"/>
      <c r="S31" s="28"/>
      <c r="T31" s="28"/>
      <c r="U31" s="28"/>
      <c r="W31" s="28"/>
    </row>
    <row r="32" spans="1:32" ht="12.75" customHeight="1" x14ac:dyDescent="0.15">
      <c r="O32" s="28"/>
      <c r="P32" s="28"/>
      <c r="Q32" s="28"/>
      <c r="R32" s="28"/>
      <c r="S32" s="28"/>
      <c r="T32" s="28"/>
      <c r="U32" s="28"/>
      <c r="W32" s="28"/>
    </row>
    <row r="33" spans="15:23" ht="12.75" customHeight="1" x14ac:dyDescent="0.15">
      <c r="O33" s="28"/>
      <c r="P33" s="28"/>
      <c r="Q33" s="28"/>
      <c r="R33" s="28"/>
      <c r="S33" s="28"/>
      <c r="T33" s="28"/>
      <c r="U33" s="28"/>
      <c r="W33" s="28"/>
    </row>
    <row r="34" spans="15:23" ht="12.75" customHeight="1" x14ac:dyDescent="0.15">
      <c r="O34" s="28"/>
      <c r="P34" s="28"/>
      <c r="Q34" s="28"/>
      <c r="R34" s="28"/>
      <c r="S34" s="28"/>
      <c r="T34" s="28"/>
      <c r="U34" s="28"/>
      <c r="W34" s="28"/>
    </row>
    <row r="35" spans="15:23" ht="12.75" customHeight="1" x14ac:dyDescent="0.15">
      <c r="O35" s="28"/>
      <c r="P35" s="28"/>
      <c r="Q35" s="28"/>
      <c r="R35" s="28"/>
      <c r="S35" s="28"/>
      <c r="T35" s="28"/>
      <c r="U35" s="28"/>
      <c r="W35" s="28"/>
    </row>
    <row r="36" spans="15:23" ht="12.75" customHeight="1" x14ac:dyDescent="0.15">
      <c r="O36" s="28"/>
      <c r="P36" s="28"/>
      <c r="Q36" s="28"/>
      <c r="R36" s="28"/>
      <c r="S36" s="28"/>
      <c r="T36" s="28"/>
      <c r="U36" s="28"/>
      <c r="W36" s="28"/>
    </row>
    <row r="37" spans="15:23" ht="12.75" customHeight="1" x14ac:dyDescent="0.15">
      <c r="O37" s="28"/>
      <c r="P37" s="28"/>
      <c r="Q37" s="28"/>
      <c r="R37" s="28"/>
      <c r="S37" s="28"/>
      <c r="T37" s="28"/>
      <c r="U37" s="28"/>
      <c r="W37" s="28"/>
    </row>
    <row r="38" spans="15:23" ht="12.75" customHeight="1" x14ac:dyDescent="0.15">
      <c r="O38" s="28"/>
      <c r="P38" s="28"/>
      <c r="Q38" s="28"/>
      <c r="R38" s="28"/>
      <c r="S38" s="28"/>
      <c r="T38" s="28"/>
      <c r="U38" s="28"/>
      <c r="W38" s="28"/>
    </row>
    <row r="39" spans="15:23" ht="12.75" customHeight="1" x14ac:dyDescent="0.15">
      <c r="O39" s="28"/>
      <c r="P39" s="28"/>
      <c r="Q39" s="28"/>
      <c r="R39" s="28"/>
      <c r="S39" s="28"/>
      <c r="T39" s="28"/>
      <c r="U39" s="28"/>
      <c r="W39" s="28"/>
    </row>
    <row r="40" spans="15:23" ht="12.75" customHeight="1" x14ac:dyDescent="0.15">
      <c r="O40" s="28"/>
      <c r="P40" s="28"/>
      <c r="Q40" s="28"/>
      <c r="R40" s="28"/>
      <c r="S40" s="28"/>
      <c r="T40" s="28"/>
      <c r="U40" s="28"/>
      <c r="W40" s="28"/>
    </row>
    <row r="41" spans="15:23" ht="12.75" customHeight="1" x14ac:dyDescent="0.15">
      <c r="O41" s="28"/>
      <c r="P41" s="28"/>
      <c r="Q41" s="28"/>
      <c r="R41" s="28"/>
      <c r="S41" s="28"/>
      <c r="T41" s="28"/>
      <c r="U41" s="28"/>
      <c r="W41" s="28"/>
    </row>
    <row r="42" spans="15:23" ht="12.75" customHeight="1" x14ac:dyDescent="0.15">
      <c r="O42" s="28"/>
      <c r="P42" s="28"/>
      <c r="Q42" s="28"/>
      <c r="R42" s="28"/>
      <c r="S42" s="28"/>
      <c r="T42" s="28"/>
      <c r="U42" s="28"/>
      <c r="W42" s="28"/>
    </row>
    <row r="43" spans="15:23" ht="12.75" customHeight="1" x14ac:dyDescent="0.15">
      <c r="O43" s="28"/>
      <c r="P43" s="28"/>
      <c r="Q43" s="28"/>
      <c r="R43" s="28"/>
      <c r="S43" s="28"/>
      <c r="T43" s="28"/>
      <c r="U43" s="28"/>
      <c r="W43" s="28"/>
    </row>
    <row r="44" spans="15:23" ht="12.75" customHeight="1" x14ac:dyDescent="0.15">
      <c r="O44" s="28"/>
      <c r="P44" s="28"/>
      <c r="Q44" s="28"/>
      <c r="R44" s="28"/>
      <c r="S44" s="28"/>
      <c r="T44" s="28"/>
      <c r="U44" s="28"/>
      <c r="W44" s="28"/>
    </row>
    <row r="45" spans="15:23" ht="12.75" customHeight="1" x14ac:dyDescent="0.15">
      <c r="O45" s="28"/>
      <c r="P45" s="28"/>
      <c r="Q45" s="28"/>
      <c r="R45" s="28"/>
      <c r="S45" s="28"/>
      <c r="T45" s="28"/>
      <c r="U45" s="28"/>
      <c r="W45" s="28"/>
    </row>
    <row r="46" spans="15:23" ht="12.75" customHeight="1" x14ac:dyDescent="0.15">
      <c r="O46" s="28"/>
      <c r="P46" s="28"/>
      <c r="Q46" s="28"/>
      <c r="R46" s="28"/>
      <c r="S46" s="28"/>
      <c r="T46" s="28"/>
      <c r="U46" s="28"/>
      <c r="W46" s="28"/>
    </row>
    <row r="47" spans="15:23" ht="12.75" customHeight="1" x14ac:dyDescent="0.15">
      <c r="O47" s="28"/>
      <c r="P47" s="28"/>
      <c r="Q47" s="28"/>
      <c r="R47" s="28"/>
      <c r="S47" s="28"/>
      <c r="T47" s="28"/>
      <c r="U47" s="28"/>
      <c r="W47" s="28"/>
    </row>
    <row r="48" spans="15:23" ht="12.75" customHeight="1" x14ac:dyDescent="0.15">
      <c r="O48" s="28"/>
      <c r="P48" s="28"/>
      <c r="Q48" s="28"/>
      <c r="R48" s="28"/>
      <c r="S48" s="28"/>
      <c r="T48" s="28"/>
      <c r="U48" s="28"/>
      <c r="W48" s="28"/>
    </row>
    <row r="49" spans="15:23" ht="12.75" customHeight="1" x14ac:dyDescent="0.15">
      <c r="O49" s="28"/>
      <c r="P49" s="28"/>
      <c r="Q49" s="28"/>
      <c r="R49" s="28"/>
      <c r="S49" s="28"/>
      <c r="T49" s="28"/>
      <c r="U49" s="28"/>
      <c r="W49" s="28"/>
    </row>
    <row r="50" spans="15:23" ht="12.75" customHeight="1" x14ac:dyDescent="0.15">
      <c r="O50" s="28"/>
      <c r="P50" s="28"/>
      <c r="Q50" s="28"/>
      <c r="R50" s="28"/>
      <c r="S50" s="28"/>
      <c r="T50" s="28"/>
      <c r="U50" s="28"/>
      <c r="W50" s="28"/>
    </row>
    <row r="51" spans="15:23" ht="12.75" customHeight="1" x14ac:dyDescent="0.15">
      <c r="O51" s="28"/>
      <c r="P51" s="28"/>
      <c r="Q51" s="28"/>
      <c r="R51" s="28"/>
      <c r="S51" s="28"/>
      <c r="T51" s="28"/>
      <c r="U51" s="28"/>
      <c r="W51" s="28"/>
    </row>
    <row r="52" spans="15:23" ht="12.75" customHeight="1" x14ac:dyDescent="0.15">
      <c r="O52" s="28"/>
      <c r="P52" s="28"/>
      <c r="Q52" s="28"/>
      <c r="R52" s="28"/>
      <c r="S52" s="28"/>
      <c r="T52" s="28"/>
      <c r="U52" s="28"/>
      <c r="W52" s="28"/>
    </row>
    <row r="53" spans="15:23" ht="12.75" customHeight="1" x14ac:dyDescent="0.15">
      <c r="O53" s="28"/>
      <c r="P53" s="28"/>
      <c r="Q53" s="28"/>
      <c r="R53" s="28"/>
      <c r="S53" s="28"/>
      <c r="T53" s="28"/>
      <c r="U53" s="28"/>
      <c r="W53" s="28"/>
    </row>
    <row r="54" spans="15:23" ht="12.75" customHeight="1" x14ac:dyDescent="0.15">
      <c r="O54" s="28"/>
      <c r="P54" s="28"/>
      <c r="Q54" s="28"/>
      <c r="R54" s="28"/>
      <c r="S54" s="28"/>
      <c r="T54" s="28"/>
      <c r="U54" s="28"/>
      <c r="W54" s="28"/>
    </row>
    <row r="55" spans="15:23" ht="12.75" customHeight="1" x14ac:dyDescent="0.15">
      <c r="O55" s="28"/>
      <c r="P55" s="28"/>
      <c r="Q55" s="28"/>
      <c r="R55" s="28"/>
      <c r="S55" s="28"/>
      <c r="T55" s="28"/>
      <c r="U55" s="28"/>
      <c r="W55" s="28"/>
    </row>
    <row r="56" spans="15:23" ht="12.75" customHeight="1" x14ac:dyDescent="0.15">
      <c r="O56" s="28"/>
      <c r="P56" s="28"/>
      <c r="Q56" s="28"/>
      <c r="R56" s="28"/>
      <c r="S56" s="28"/>
      <c r="T56" s="28"/>
      <c r="U56" s="28"/>
      <c r="W56" s="28"/>
    </row>
    <row r="57" spans="15:23" ht="12.75" customHeight="1" x14ac:dyDescent="0.15">
      <c r="O57" s="28"/>
      <c r="P57" s="28"/>
      <c r="Q57" s="28"/>
      <c r="R57" s="28"/>
      <c r="S57" s="28"/>
      <c r="T57" s="28"/>
      <c r="U57" s="28"/>
      <c r="W57" s="28"/>
    </row>
    <row r="58" spans="15:23" ht="12.75" customHeight="1" x14ac:dyDescent="0.15">
      <c r="O58" s="28"/>
      <c r="P58" s="28"/>
      <c r="Q58" s="28"/>
      <c r="R58" s="28"/>
      <c r="S58" s="28"/>
      <c r="T58" s="28"/>
      <c r="U58" s="28"/>
      <c r="W58" s="28"/>
    </row>
    <row r="59" spans="15:23" ht="12.75" customHeight="1" x14ac:dyDescent="0.15">
      <c r="O59" s="28"/>
      <c r="P59" s="28"/>
      <c r="Q59" s="28"/>
      <c r="R59" s="28"/>
      <c r="S59" s="28"/>
      <c r="T59" s="28"/>
      <c r="U59" s="28"/>
      <c r="W59" s="28"/>
    </row>
    <row r="60" spans="15:23" ht="12.75" customHeight="1" x14ac:dyDescent="0.15">
      <c r="O60" s="28"/>
      <c r="P60" s="28"/>
      <c r="Q60" s="28"/>
      <c r="R60" s="28"/>
      <c r="S60" s="28"/>
      <c r="T60" s="28"/>
      <c r="U60" s="28"/>
      <c r="W60" s="28"/>
    </row>
    <row r="61" spans="15:23" ht="12.75" customHeight="1" x14ac:dyDescent="0.15">
      <c r="O61" s="28"/>
      <c r="P61" s="28"/>
      <c r="Q61" s="28"/>
      <c r="R61" s="28"/>
      <c r="S61" s="28"/>
      <c r="T61" s="28"/>
      <c r="U61" s="28"/>
      <c r="W61" s="28"/>
    </row>
    <row r="62" spans="15:23" ht="12.75" customHeight="1" x14ac:dyDescent="0.15">
      <c r="O62" s="28"/>
      <c r="P62" s="28"/>
      <c r="Q62" s="28"/>
      <c r="R62" s="28"/>
      <c r="S62" s="28"/>
      <c r="T62" s="28"/>
      <c r="U62" s="28"/>
      <c r="W62" s="28"/>
    </row>
    <row r="63" spans="15:23" ht="12.75" customHeight="1" x14ac:dyDescent="0.15">
      <c r="O63" s="28"/>
      <c r="P63" s="28"/>
      <c r="Q63" s="28"/>
      <c r="R63" s="28"/>
      <c r="S63" s="28"/>
      <c r="T63" s="28"/>
      <c r="U63" s="28"/>
      <c r="W63" s="28"/>
    </row>
    <row r="64" spans="15:23" ht="12.75" customHeight="1" x14ac:dyDescent="0.15">
      <c r="O64" s="28"/>
      <c r="P64" s="28"/>
      <c r="Q64" s="28"/>
      <c r="R64" s="28"/>
      <c r="S64" s="28"/>
      <c r="T64" s="28"/>
      <c r="U64" s="28"/>
      <c r="W64" s="28"/>
    </row>
    <row r="65" spans="15:23" ht="12.75" customHeight="1" x14ac:dyDescent="0.15">
      <c r="O65" s="28"/>
      <c r="P65" s="28"/>
      <c r="Q65" s="28"/>
      <c r="R65" s="28"/>
      <c r="S65" s="28"/>
      <c r="T65" s="28"/>
      <c r="U65" s="28"/>
      <c r="W65" s="28"/>
    </row>
    <row r="66" spans="15:23" ht="12.75" customHeight="1" x14ac:dyDescent="0.15">
      <c r="O66" s="28"/>
      <c r="P66" s="28"/>
      <c r="Q66" s="28"/>
      <c r="R66" s="28"/>
      <c r="S66" s="28"/>
      <c r="T66" s="28"/>
      <c r="U66" s="28"/>
      <c r="W66" s="28"/>
    </row>
    <row r="67" spans="15:23" ht="12.75" customHeight="1" x14ac:dyDescent="0.15">
      <c r="O67" s="28"/>
      <c r="P67" s="28"/>
      <c r="Q67" s="28"/>
      <c r="R67" s="28"/>
      <c r="S67" s="28"/>
      <c r="T67" s="28"/>
      <c r="U67" s="28"/>
      <c r="W67" s="28"/>
    </row>
    <row r="68" spans="15:23" ht="12.75" customHeight="1" x14ac:dyDescent="0.15">
      <c r="O68" s="28"/>
      <c r="P68" s="28"/>
      <c r="Q68" s="28"/>
      <c r="R68" s="28"/>
      <c r="S68" s="28"/>
      <c r="T68" s="28"/>
      <c r="U68" s="28"/>
      <c r="W68" s="28"/>
    </row>
    <row r="69" spans="15:23" ht="12.75" customHeight="1" x14ac:dyDescent="0.15">
      <c r="O69" s="28"/>
      <c r="P69" s="28"/>
      <c r="Q69" s="28"/>
      <c r="R69" s="28"/>
      <c r="S69" s="28"/>
      <c r="T69" s="28"/>
      <c r="U69" s="28"/>
      <c r="W69" s="28"/>
    </row>
    <row r="70" spans="15:23" ht="12.75" customHeight="1" x14ac:dyDescent="0.15">
      <c r="O70" s="28"/>
      <c r="P70" s="28"/>
      <c r="Q70" s="28"/>
      <c r="R70" s="28"/>
      <c r="S70" s="28"/>
      <c r="T70" s="28"/>
      <c r="U70" s="28"/>
      <c r="W70" s="28"/>
    </row>
    <row r="71" spans="15:23" ht="12.75" customHeight="1" x14ac:dyDescent="0.15">
      <c r="O71" s="28"/>
      <c r="P71" s="28"/>
      <c r="Q71" s="28"/>
      <c r="R71" s="28"/>
      <c r="S71" s="28"/>
      <c r="T71" s="28"/>
      <c r="U71" s="28"/>
      <c r="W71" s="28"/>
    </row>
    <row r="72" spans="15:23" ht="12.75" customHeight="1" x14ac:dyDescent="0.15">
      <c r="O72" s="28"/>
      <c r="P72" s="28"/>
      <c r="Q72" s="28"/>
      <c r="R72" s="28"/>
      <c r="S72" s="28"/>
      <c r="T72" s="28"/>
      <c r="U72" s="28"/>
      <c r="W72" s="28"/>
    </row>
    <row r="73" spans="15:23" ht="12.75" customHeight="1" x14ac:dyDescent="0.15">
      <c r="O73" s="28"/>
      <c r="P73" s="28"/>
      <c r="Q73" s="28"/>
      <c r="R73" s="28"/>
      <c r="S73" s="28"/>
      <c r="T73" s="28"/>
      <c r="U73" s="28"/>
      <c r="W73" s="28"/>
    </row>
    <row r="74" spans="15:23" ht="12.75" customHeight="1" x14ac:dyDescent="0.15">
      <c r="O74" s="28"/>
      <c r="P74" s="28"/>
      <c r="Q74" s="28"/>
      <c r="R74" s="28"/>
      <c r="S74" s="28"/>
      <c r="T74" s="28"/>
      <c r="U74" s="28"/>
      <c r="W74" s="28"/>
    </row>
    <row r="75" spans="15:23" ht="12.75" customHeight="1" x14ac:dyDescent="0.15">
      <c r="O75" s="28"/>
      <c r="P75" s="28"/>
      <c r="Q75" s="28"/>
      <c r="R75" s="28"/>
      <c r="S75" s="28"/>
      <c r="T75" s="28"/>
      <c r="U75" s="28"/>
      <c r="W75" s="28"/>
    </row>
    <row r="76" spans="15:23" ht="12.75" customHeight="1" x14ac:dyDescent="0.15">
      <c r="O76" s="28"/>
      <c r="P76" s="28"/>
      <c r="Q76" s="28"/>
      <c r="R76" s="28"/>
      <c r="S76" s="28"/>
      <c r="T76" s="28"/>
      <c r="U76" s="28"/>
      <c r="W76" s="28"/>
    </row>
    <row r="77" spans="15:23" ht="12.75" customHeight="1" x14ac:dyDescent="0.15">
      <c r="O77" s="28"/>
      <c r="P77" s="28"/>
      <c r="Q77" s="28"/>
      <c r="R77" s="28"/>
      <c r="S77" s="28"/>
      <c r="T77" s="28"/>
      <c r="U77" s="28"/>
      <c r="W77" s="28"/>
    </row>
    <row r="78" spans="15:23" ht="12.75" customHeight="1" x14ac:dyDescent="0.15">
      <c r="O78" s="28"/>
      <c r="P78" s="28"/>
      <c r="Q78" s="28"/>
      <c r="R78" s="28"/>
      <c r="S78" s="28"/>
      <c r="T78" s="28"/>
      <c r="U78" s="28"/>
      <c r="W78" s="28"/>
    </row>
    <row r="79" spans="15:23" ht="12.75" customHeight="1" x14ac:dyDescent="0.15">
      <c r="O79" s="28"/>
      <c r="P79" s="28"/>
      <c r="Q79" s="28"/>
      <c r="R79" s="28"/>
      <c r="S79" s="28"/>
      <c r="T79" s="28"/>
      <c r="U79" s="28"/>
      <c r="W79" s="28"/>
    </row>
    <row r="80" spans="15:23" ht="12.75" customHeight="1" x14ac:dyDescent="0.15">
      <c r="O80" s="28"/>
      <c r="P80" s="28"/>
      <c r="Q80" s="28"/>
      <c r="R80" s="28"/>
      <c r="S80" s="28"/>
      <c r="T80" s="28"/>
      <c r="U80" s="28"/>
      <c r="W80" s="28"/>
    </row>
    <row r="81" spans="15:23" ht="12.75" customHeight="1" x14ac:dyDescent="0.15">
      <c r="O81" s="28"/>
      <c r="P81" s="28"/>
      <c r="Q81" s="28"/>
      <c r="R81" s="28"/>
      <c r="S81" s="28"/>
      <c r="T81" s="28"/>
      <c r="U81" s="28"/>
      <c r="W81" s="28"/>
    </row>
    <row r="82" spans="15:23" ht="12.75" customHeight="1" x14ac:dyDescent="0.15">
      <c r="O82" s="28"/>
      <c r="P82" s="28"/>
      <c r="Q82" s="28"/>
      <c r="R82" s="28"/>
      <c r="S82" s="28"/>
      <c r="T82" s="28"/>
      <c r="U82" s="28"/>
      <c r="W82" s="28"/>
    </row>
    <row r="83" spans="15:23" ht="12.75" customHeight="1" x14ac:dyDescent="0.15">
      <c r="O83" s="28"/>
      <c r="P83" s="28"/>
      <c r="Q83" s="28"/>
      <c r="R83" s="28"/>
      <c r="S83" s="28"/>
      <c r="T83" s="28"/>
      <c r="U83" s="28"/>
      <c r="W83" s="28"/>
    </row>
    <row r="84" spans="15:23" ht="12.75" customHeight="1" x14ac:dyDescent="0.15">
      <c r="O84" s="28"/>
      <c r="P84" s="28"/>
      <c r="Q84" s="28"/>
      <c r="R84" s="28"/>
      <c r="S84" s="28"/>
      <c r="T84" s="28"/>
      <c r="U84" s="28"/>
      <c r="W84" s="28"/>
    </row>
    <row r="85" spans="15:23" ht="12.75" customHeight="1" x14ac:dyDescent="0.15">
      <c r="O85" s="28"/>
      <c r="P85" s="28"/>
      <c r="Q85" s="28"/>
      <c r="R85" s="28"/>
      <c r="S85" s="28"/>
      <c r="T85" s="28"/>
      <c r="U85" s="28"/>
      <c r="W85" s="28"/>
    </row>
    <row r="86" spans="15:23" ht="12.75" customHeight="1" x14ac:dyDescent="0.15">
      <c r="O86" s="28"/>
      <c r="P86" s="28"/>
      <c r="Q86" s="28"/>
      <c r="R86" s="28"/>
      <c r="S86" s="28"/>
      <c r="T86" s="28"/>
      <c r="U86" s="28"/>
      <c r="W86" s="28"/>
    </row>
    <row r="87" spans="15:23" ht="12.75" customHeight="1" x14ac:dyDescent="0.15">
      <c r="O87" s="28"/>
      <c r="P87" s="28"/>
      <c r="Q87" s="28"/>
      <c r="R87" s="28"/>
      <c r="S87" s="28"/>
      <c r="T87" s="28"/>
      <c r="U87" s="28"/>
      <c r="W87" s="28"/>
    </row>
    <row r="88" spans="15:23" ht="12.75" customHeight="1" x14ac:dyDescent="0.15">
      <c r="O88" s="28"/>
      <c r="P88" s="28"/>
      <c r="Q88" s="28"/>
      <c r="R88" s="28"/>
      <c r="S88" s="28"/>
      <c r="T88" s="28"/>
      <c r="U88" s="28"/>
      <c r="W88" s="28"/>
    </row>
    <row r="89" spans="15:23" ht="12.75" customHeight="1" x14ac:dyDescent="0.15">
      <c r="O89" s="28"/>
      <c r="P89" s="28"/>
      <c r="Q89" s="28"/>
      <c r="R89" s="28"/>
      <c r="S89" s="28"/>
      <c r="T89" s="28"/>
      <c r="U89" s="28"/>
      <c r="W89" s="28"/>
    </row>
    <row r="90" spans="15:23" ht="12.75" customHeight="1" x14ac:dyDescent="0.15">
      <c r="O90" s="28"/>
      <c r="P90" s="28"/>
      <c r="Q90" s="28"/>
      <c r="R90" s="28"/>
      <c r="S90" s="28"/>
      <c r="T90" s="28"/>
      <c r="U90" s="28"/>
      <c r="W90" s="28"/>
    </row>
    <row r="91" spans="15:23" ht="12.75" customHeight="1" x14ac:dyDescent="0.15">
      <c r="O91" s="28"/>
      <c r="P91" s="28"/>
      <c r="Q91" s="28"/>
      <c r="R91" s="28"/>
      <c r="S91" s="28"/>
      <c r="T91" s="28"/>
      <c r="U91" s="28"/>
      <c r="W91" s="28"/>
    </row>
    <row r="92" spans="15:23" ht="12.75" customHeight="1" x14ac:dyDescent="0.15">
      <c r="O92" s="28"/>
      <c r="P92" s="28"/>
      <c r="Q92" s="28"/>
      <c r="R92" s="28"/>
      <c r="S92" s="28"/>
      <c r="T92" s="28"/>
      <c r="U92" s="28"/>
      <c r="W92" s="28"/>
    </row>
    <row r="93" spans="15:23" ht="12.75" customHeight="1" x14ac:dyDescent="0.15">
      <c r="O93" s="28"/>
      <c r="P93" s="28"/>
      <c r="Q93" s="28"/>
      <c r="R93" s="28"/>
      <c r="S93" s="28"/>
      <c r="T93" s="28"/>
      <c r="U93" s="28"/>
      <c r="W93" s="28"/>
    </row>
    <row r="94" spans="15:23" ht="12.75" customHeight="1" x14ac:dyDescent="0.15">
      <c r="O94" s="28"/>
      <c r="P94" s="28"/>
      <c r="Q94" s="28"/>
      <c r="R94" s="28"/>
      <c r="S94" s="28"/>
      <c r="T94" s="28"/>
      <c r="U94" s="28"/>
      <c r="W94" s="28"/>
    </row>
    <row r="95" spans="15:23" ht="12.75" customHeight="1" x14ac:dyDescent="0.15">
      <c r="O95" s="28"/>
      <c r="P95" s="28"/>
      <c r="Q95" s="28"/>
      <c r="R95" s="28"/>
      <c r="S95" s="28"/>
      <c r="T95" s="28"/>
      <c r="U95" s="28"/>
      <c r="W95" s="28"/>
    </row>
    <row r="96" spans="15:23" ht="12.75" customHeight="1" x14ac:dyDescent="0.15">
      <c r="O96" s="28"/>
      <c r="P96" s="28"/>
      <c r="Q96" s="28"/>
      <c r="R96" s="28"/>
      <c r="S96" s="28"/>
      <c r="T96" s="28"/>
      <c r="U96" s="28"/>
      <c r="W96" s="28"/>
    </row>
    <row r="97" spans="15:23" ht="12.75" customHeight="1" x14ac:dyDescent="0.15">
      <c r="O97" s="28"/>
      <c r="P97" s="28"/>
      <c r="Q97" s="28"/>
      <c r="R97" s="28"/>
      <c r="S97" s="28"/>
      <c r="T97" s="28"/>
      <c r="U97" s="28"/>
      <c r="W97" s="28"/>
    </row>
    <row r="98" spans="15:23" ht="12.75" customHeight="1" x14ac:dyDescent="0.15">
      <c r="O98" s="28"/>
      <c r="P98" s="28"/>
      <c r="Q98" s="28"/>
      <c r="R98" s="28"/>
      <c r="S98" s="28"/>
      <c r="T98" s="28"/>
      <c r="U98" s="28"/>
      <c r="W98" s="28"/>
    </row>
    <row r="99" spans="15:23" ht="12.75" customHeight="1" x14ac:dyDescent="0.15">
      <c r="O99" s="28"/>
      <c r="P99" s="28"/>
      <c r="Q99" s="28"/>
      <c r="R99" s="28"/>
      <c r="S99" s="28"/>
      <c r="T99" s="28"/>
      <c r="U99" s="28"/>
      <c r="W99" s="28"/>
    </row>
    <row r="100" spans="15:23" ht="12.75" customHeight="1" x14ac:dyDescent="0.15">
      <c r="O100" s="28"/>
      <c r="P100" s="28"/>
      <c r="Q100" s="28"/>
      <c r="R100" s="28"/>
      <c r="S100" s="28"/>
      <c r="T100" s="28"/>
      <c r="U100" s="28"/>
      <c r="W100" s="28"/>
    </row>
    <row r="101" spans="15:23" ht="12.75" customHeight="1" x14ac:dyDescent="0.15">
      <c r="O101" s="28"/>
      <c r="P101" s="28"/>
      <c r="Q101" s="28"/>
      <c r="R101" s="28"/>
      <c r="S101" s="28"/>
      <c r="T101" s="28"/>
      <c r="U101" s="28"/>
      <c r="W101" s="28"/>
    </row>
    <row r="102" spans="15:23" ht="12.75" customHeight="1" x14ac:dyDescent="0.15">
      <c r="O102" s="28"/>
      <c r="P102" s="28"/>
      <c r="Q102" s="28"/>
      <c r="R102" s="28"/>
      <c r="S102" s="28"/>
      <c r="T102" s="28"/>
      <c r="U102" s="28"/>
      <c r="W102" s="28"/>
    </row>
    <row r="103" spans="15:23" ht="12.75" customHeight="1" x14ac:dyDescent="0.15">
      <c r="O103" s="28"/>
      <c r="P103" s="28"/>
      <c r="Q103" s="28"/>
      <c r="R103" s="28"/>
      <c r="S103" s="28"/>
      <c r="T103" s="28"/>
      <c r="U103" s="28"/>
      <c r="W103" s="28"/>
    </row>
    <row r="104" spans="15:23" ht="12.75" customHeight="1" x14ac:dyDescent="0.15">
      <c r="O104" s="28"/>
      <c r="P104" s="28"/>
      <c r="Q104" s="28"/>
      <c r="R104" s="28"/>
      <c r="S104" s="28"/>
      <c r="T104" s="28"/>
      <c r="U104" s="28"/>
      <c r="W104" s="28"/>
    </row>
    <row r="105" spans="15:23" ht="12.75" customHeight="1" x14ac:dyDescent="0.15">
      <c r="O105" s="28"/>
      <c r="P105" s="28"/>
      <c r="Q105" s="28"/>
      <c r="R105" s="28"/>
      <c r="S105" s="28"/>
      <c r="T105" s="28"/>
      <c r="U105" s="28"/>
      <c r="W105" s="28"/>
    </row>
    <row r="106" spans="15:23" ht="12.75" customHeight="1" x14ac:dyDescent="0.15">
      <c r="O106" s="28"/>
      <c r="P106" s="28"/>
      <c r="Q106" s="28"/>
      <c r="R106" s="28"/>
      <c r="S106" s="28"/>
      <c r="T106" s="28"/>
      <c r="U106" s="28"/>
      <c r="W106" s="28"/>
    </row>
    <row r="107" spans="15:23" ht="12.75" customHeight="1" x14ac:dyDescent="0.15">
      <c r="O107" s="28"/>
      <c r="P107" s="28"/>
      <c r="Q107" s="28"/>
      <c r="R107" s="28"/>
      <c r="S107" s="28"/>
      <c r="T107" s="28"/>
      <c r="U107" s="28"/>
      <c r="W107" s="28"/>
    </row>
    <row r="108" spans="15:23" ht="12.75" customHeight="1" x14ac:dyDescent="0.15">
      <c r="O108" s="28"/>
      <c r="P108" s="28"/>
      <c r="Q108" s="28"/>
      <c r="R108" s="28"/>
      <c r="S108" s="28"/>
      <c r="T108" s="28"/>
      <c r="U108" s="28"/>
      <c r="W108" s="28"/>
    </row>
    <row r="109" spans="15:23" ht="12.75" customHeight="1" x14ac:dyDescent="0.15">
      <c r="O109" s="28"/>
      <c r="P109" s="28"/>
      <c r="Q109" s="28"/>
      <c r="R109" s="28"/>
      <c r="S109" s="28"/>
      <c r="T109" s="28"/>
      <c r="U109" s="28"/>
      <c r="W109" s="28"/>
    </row>
    <row r="110" spans="15:23" ht="12.75" customHeight="1" x14ac:dyDescent="0.15">
      <c r="O110" s="28"/>
      <c r="P110" s="28"/>
      <c r="Q110" s="28"/>
      <c r="R110" s="28"/>
      <c r="S110" s="28"/>
      <c r="T110" s="28"/>
      <c r="U110" s="28"/>
      <c r="W110" s="28"/>
    </row>
    <row r="111" spans="15:23" ht="12.75" customHeight="1" x14ac:dyDescent="0.15">
      <c r="O111" s="28"/>
      <c r="P111" s="28"/>
      <c r="Q111" s="28"/>
      <c r="R111" s="28"/>
      <c r="S111" s="28"/>
      <c r="T111" s="28"/>
      <c r="U111" s="28"/>
      <c r="W111" s="28"/>
    </row>
    <row r="112" spans="15:23" ht="12.75" customHeight="1" x14ac:dyDescent="0.15">
      <c r="O112" s="28"/>
      <c r="P112" s="28"/>
      <c r="Q112" s="28"/>
      <c r="R112" s="28"/>
      <c r="S112" s="28"/>
      <c r="T112" s="28"/>
      <c r="U112" s="28"/>
      <c r="W112" s="28"/>
    </row>
    <row r="113" spans="15:23" ht="12.75" customHeight="1" x14ac:dyDescent="0.15">
      <c r="O113" s="28"/>
      <c r="P113" s="28"/>
      <c r="Q113" s="28"/>
      <c r="R113" s="28"/>
      <c r="S113" s="28"/>
      <c r="T113" s="28"/>
      <c r="U113" s="28"/>
      <c r="W113" s="28"/>
    </row>
    <row r="114" spans="15:23" ht="12.75" customHeight="1" x14ac:dyDescent="0.15">
      <c r="O114" s="28"/>
      <c r="P114" s="28"/>
      <c r="Q114" s="28"/>
      <c r="R114" s="28"/>
      <c r="S114" s="28"/>
      <c r="T114" s="28"/>
      <c r="U114" s="28"/>
      <c r="W114" s="28"/>
    </row>
    <row r="115" spans="15:23" ht="12.75" customHeight="1" x14ac:dyDescent="0.15">
      <c r="O115" s="28"/>
      <c r="P115" s="28"/>
      <c r="Q115" s="28"/>
      <c r="R115" s="28"/>
      <c r="S115" s="28"/>
      <c r="T115" s="28"/>
      <c r="U115" s="28"/>
      <c r="W115" s="28"/>
    </row>
    <row r="116" spans="15:23" ht="12.75" customHeight="1" x14ac:dyDescent="0.15">
      <c r="O116" s="28"/>
      <c r="P116" s="28"/>
      <c r="Q116" s="28"/>
      <c r="R116" s="28"/>
      <c r="S116" s="28"/>
      <c r="T116" s="28"/>
      <c r="U116" s="28"/>
      <c r="W116" s="28"/>
    </row>
    <row r="117" spans="15:23" ht="12.75" customHeight="1" x14ac:dyDescent="0.15">
      <c r="O117" s="28"/>
      <c r="P117" s="28"/>
      <c r="Q117" s="28"/>
      <c r="R117" s="28"/>
      <c r="S117" s="28"/>
      <c r="T117" s="28"/>
      <c r="U117" s="28"/>
      <c r="W117" s="28"/>
    </row>
    <row r="118" spans="15:23" ht="12.75" customHeight="1" x14ac:dyDescent="0.15">
      <c r="O118" s="28"/>
      <c r="P118" s="28"/>
      <c r="Q118" s="28"/>
      <c r="R118" s="28"/>
      <c r="S118" s="28"/>
      <c r="T118" s="28"/>
      <c r="U118" s="28"/>
      <c r="W118" s="28"/>
    </row>
    <row r="119" spans="15:23" ht="12.75" customHeight="1" x14ac:dyDescent="0.15">
      <c r="O119" s="28"/>
      <c r="P119" s="28"/>
      <c r="Q119" s="28"/>
      <c r="R119" s="28"/>
      <c r="S119" s="28"/>
      <c r="T119" s="28"/>
      <c r="U119" s="28"/>
      <c r="W119" s="28"/>
    </row>
    <row r="120" spans="15:23" ht="12.75" customHeight="1" x14ac:dyDescent="0.15">
      <c r="O120" s="28"/>
      <c r="P120" s="28"/>
      <c r="Q120" s="28"/>
      <c r="R120" s="28"/>
      <c r="S120" s="28"/>
      <c r="T120" s="28"/>
      <c r="U120" s="28"/>
      <c r="W120" s="28"/>
    </row>
    <row r="121" spans="15:23" ht="12.75" customHeight="1" x14ac:dyDescent="0.15">
      <c r="O121" s="28"/>
      <c r="P121" s="28"/>
      <c r="Q121" s="28"/>
      <c r="R121" s="28"/>
      <c r="S121" s="28"/>
      <c r="T121" s="28"/>
      <c r="U121" s="28"/>
      <c r="W121" s="28"/>
    </row>
    <row r="122" spans="15:23" ht="12.75" customHeight="1" x14ac:dyDescent="0.15">
      <c r="O122" s="28"/>
      <c r="P122" s="28"/>
      <c r="Q122" s="28"/>
      <c r="R122" s="28"/>
      <c r="S122" s="28"/>
      <c r="T122" s="28"/>
      <c r="U122" s="28"/>
      <c r="W122" s="28"/>
    </row>
    <row r="123" spans="15:23" ht="12.75" customHeight="1" x14ac:dyDescent="0.15">
      <c r="O123" s="28"/>
      <c r="P123" s="28"/>
      <c r="Q123" s="28"/>
      <c r="R123" s="28"/>
      <c r="S123" s="28"/>
      <c r="T123" s="28"/>
      <c r="U123" s="28"/>
      <c r="W123" s="28"/>
    </row>
    <row r="124" spans="15:23" ht="12.75" customHeight="1" x14ac:dyDescent="0.15">
      <c r="O124" s="28"/>
      <c r="P124" s="28"/>
      <c r="Q124" s="28"/>
      <c r="R124" s="28"/>
      <c r="S124" s="28"/>
      <c r="T124" s="28"/>
      <c r="U124" s="28"/>
      <c r="W124" s="28"/>
    </row>
    <row r="125" spans="15:23" ht="12.75" customHeight="1" x14ac:dyDescent="0.15">
      <c r="O125" s="28"/>
      <c r="P125" s="28"/>
      <c r="Q125" s="28"/>
      <c r="R125" s="28"/>
      <c r="S125" s="28"/>
      <c r="T125" s="28"/>
      <c r="U125" s="28"/>
      <c r="W125" s="28"/>
    </row>
    <row r="126" spans="15:23" ht="12.75" customHeight="1" x14ac:dyDescent="0.15">
      <c r="O126" s="28"/>
      <c r="P126" s="28"/>
      <c r="Q126" s="28"/>
      <c r="R126" s="28"/>
      <c r="S126" s="28"/>
      <c r="T126" s="28"/>
      <c r="U126" s="28"/>
      <c r="W126" s="28"/>
    </row>
    <row r="127" spans="15:23" ht="12.75" customHeight="1" x14ac:dyDescent="0.15">
      <c r="O127" s="28"/>
      <c r="P127" s="28"/>
      <c r="Q127" s="28"/>
      <c r="R127" s="28"/>
      <c r="S127" s="28"/>
      <c r="T127" s="28"/>
      <c r="U127" s="28"/>
      <c r="W127" s="28"/>
    </row>
    <row r="128" spans="15:23" ht="12.75" customHeight="1" x14ac:dyDescent="0.15">
      <c r="O128" s="28"/>
      <c r="P128" s="28"/>
      <c r="Q128" s="28"/>
      <c r="R128" s="28"/>
      <c r="S128" s="28"/>
      <c r="T128" s="28"/>
      <c r="U128" s="28"/>
      <c r="W128" s="28"/>
    </row>
    <row r="129" spans="15:23" ht="12.75" customHeight="1" x14ac:dyDescent="0.15">
      <c r="O129" s="28"/>
      <c r="P129" s="28"/>
      <c r="Q129" s="28"/>
      <c r="R129" s="28"/>
      <c r="S129" s="28"/>
      <c r="T129" s="28"/>
      <c r="U129" s="28"/>
      <c r="W129" s="28"/>
    </row>
    <row r="130" spans="15:23" ht="12.75" customHeight="1" x14ac:dyDescent="0.15">
      <c r="O130" s="28"/>
      <c r="P130" s="28"/>
      <c r="Q130" s="28"/>
      <c r="R130" s="28"/>
      <c r="S130" s="28"/>
      <c r="T130" s="28"/>
      <c r="U130" s="28"/>
      <c r="W130" s="28"/>
    </row>
    <row r="131" spans="15:23" ht="12.75" customHeight="1" x14ac:dyDescent="0.15">
      <c r="O131" s="28"/>
      <c r="P131" s="28"/>
      <c r="Q131" s="28"/>
      <c r="R131" s="28"/>
      <c r="S131" s="28"/>
      <c r="T131" s="28"/>
      <c r="U131" s="28"/>
      <c r="W131" s="28"/>
    </row>
    <row r="132" spans="15:23" ht="12.75" customHeight="1" x14ac:dyDescent="0.15">
      <c r="O132" s="28"/>
      <c r="P132" s="28"/>
      <c r="Q132" s="28"/>
      <c r="R132" s="28"/>
      <c r="S132" s="28"/>
      <c r="T132" s="28"/>
      <c r="U132" s="28"/>
      <c r="W132" s="28"/>
    </row>
    <row r="133" spans="15:23" ht="12.75" customHeight="1" x14ac:dyDescent="0.15">
      <c r="O133" s="28"/>
      <c r="P133" s="28"/>
      <c r="Q133" s="28"/>
      <c r="R133" s="28"/>
      <c r="S133" s="28"/>
      <c r="T133" s="28"/>
      <c r="U133" s="28"/>
      <c r="W133" s="28"/>
    </row>
    <row r="134" spans="15:23" ht="12.75" customHeight="1" x14ac:dyDescent="0.15">
      <c r="O134" s="28"/>
      <c r="P134" s="28"/>
      <c r="Q134" s="28"/>
      <c r="R134" s="28"/>
      <c r="S134" s="28"/>
      <c r="T134" s="28"/>
      <c r="U134" s="28"/>
      <c r="W134" s="28"/>
    </row>
    <row r="135" spans="15:23" ht="12.75" customHeight="1" x14ac:dyDescent="0.15">
      <c r="O135" s="28"/>
      <c r="P135" s="28"/>
      <c r="Q135" s="28"/>
      <c r="R135" s="28"/>
      <c r="S135" s="28"/>
      <c r="T135" s="28"/>
      <c r="U135" s="28"/>
      <c r="W135" s="28"/>
    </row>
    <row r="136" spans="15:23" ht="12.75" customHeight="1" x14ac:dyDescent="0.15">
      <c r="O136" s="28"/>
      <c r="P136" s="28"/>
      <c r="Q136" s="28"/>
      <c r="R136" s="28"/>
      <c r="S136" s="28"/>
      <c r="T136" s="28"/>
      <c r="U136" s="28"/>
      <c r="W136" s="28"/>
    </row>
    <row r="137" spans="15:23" ht="12.75" customHeight="1" x14ac:dyDescent="0.15">
      <c r="O137" s="28"/>
      <c r="P137" s="28"/>
      <c r="Q137" s="28"/>
      <c r="R137" s="28"/>
      <c r="S137" s="28"/>
      <c r="T137" s="28"/>
      <c r="U137" s="28"/>
      <c r="W137" s="28"/>
    </row>
    <row r="138" spans="15:23" ht="12.75" customHeight="1" x14ac:dyDescent="0.15">
      <c r="O138" s="28"/>
      <c r="P138" s="28"/>
      <c r="Q138" s="28"/>
      <c r="R138" s="28"/>
      <c r="S138" s="28"/>
      <c r="T138" s="28"/>
      <c r="U138" s="28"/>
      <c r="W138" s="28"/>
    </row>
    <row r="139" spans="15:23" ht="12.75" customHeight="1" x14ac:dyDescent="0.15">
      <c r="O139" s="28"/>
      <c r="P139" s="28"/>
      <c r="Q139" s="28"/>
      <c r="R139" s="28"/>
      <c r="S139" s="28"/>
      <c r="T139" s="28"/>
      <c r="U139" s="28"/>
      <c r="W139" s="28"/>
    </row>
    <row r="140" spans="15:23" ht="12.75" customHeight="1" x14ac:dyDescent="0.15">
      <c r="O140" s="28"/>
      <c r="P140" s="28"/>
      <c r="Q140" s="28"/>
      <c r="R140" s="28"/>
      <c r="S140" s="28"/>
      <c r="T140" s="28"/>
      <c r="U140" s="28"/>
      <c r="W140" s="28"/>
    </row>
    <row r="141" spans="15:23" ht="12.75" customHeight="1" x14ac:dyDescent="0.15">
      <c r="O141" s="28"/>
      <c r="P141" s="28"/>
      <c r="Q141" s="28"/>
      <c r="R141" s="28"/>
      <c r="S141" s="28"/>
      <c r="T141" s="28"/>
      <c r="U141" s="28"/>
      <c r="W141" s="28"/>
    </row>
    <row r="142" spans="15:23" ht="12.75" customHeight="1" x14ac:dyDescent="0.15">
      <c r="O142" s="28"/>
      <c r="P142" s="28"/>
      <c r="Q142" s="28"/>
      <c r="R142" s="28"/>
      <c r="S142" s="28"/>
      <c r="T142" s="28"/>
      <c r="U142" s="28"/>
      <c r="W142" s="28"/>
    </row>
    <row r="143" spans="15:23" ht="12.75" customHeight="1" x14ac:dyDescent="0.15">
      <c r="O143" s="28"/>
      <c r="P143" s="28"/>
      <c r="Q143" s="28"/>
      <c r="R143" s="28"/>
      <c r="S143" s="28"/>
      <c r="T143" s="28"/>
      <c r="U143" s="28"/>
      <c r="W143" s="28"/>
    </row>
    <row r="144" spans="15:23" ht="12.75" customHeight="1" x14ac:dyDescent="0.15">
      <c r="O144" s="28"/>
      <c r="P144" s="28"/>
      <c r="Q144" s="28"/>
      <c r="R144" s="28"/>
      <c r="S144" s="28"/>
      <c r="T144" s="28"/>
      <c r="U144" s="28"/>
      <c r="W144" s="28"/>
    </row>
    <row r="145" spans="15:23" ht="12.75" customHeight="1" x14ac:dyDescent="0.15">
      <c r="O145" s="28"/>
      <c r="P145" s="28"/>
      <c r="Q145" s="28"/>
      <c r="R145" s="28"/>
      <c r="S145" s="28"/>
      <c r="T145" s="28"/>
      <c r="U145" s="28"/>
      <c r="W145" s="28"/>
    </row>
    <row r="146" spans="15:23" ht="12.75" customHeight="1" x14ac:dyDescent="0.15">
      <c r="O146" s="28"/>
      <c r="P146" s="28"/>
      <c r="Q146" s="28"/>
      <c r="R146" s="28"/>
      <c r="S146" s="28"/>
      <c r="T146" s="28"/>
      <c r="U146" s="28"/>
      <c r="W146" s="28"/>
    </row>
    <row r="147" spans="15:23" ht="12.75" customHeight="1" x14ac:dyDescent="0.15">
      <c r="O147" s="28"/>
      <c r="P147" s="28"/>
      <c r="Q147" s="28"/>
      <c r="R147" s="28"/>
      <c r="S147" s="28"/>
      <c r="T147" s="28"/>
      <c r="U147" s="28"/>
      <c r="W147" s="28"/>
    </row>
    <row r="148" spans="15:23" ht="12.75" customHeight="1" x14ac:dyDescent="0.15">
      <c r="O148" s="28"/>
      <c r="P148" s="28"/>
      <c r="Q148" s="28"/>
      <c r="R148" s="28"/>
      <c r="S148" s="28"/>
      <c r="T148" s="28"/>
      <c r="U148" s="28"/>
      <c r="W148" s="28"/>
    </row>
    <row r="149" spans="15:23" ht="12.75" customHeight="1" x14ac:dyDescent="0.15">
      <c r="O149" s="28"/>
      <c r="P149" s="28"/>
      <c r="Q149" s="28"/>
      <c r="R149" s="28"/>
      <c r="S149" s="28"/>
      <c r="T149" s="28"/>
      <c r="U149" s="28"/>
      <c r="W149" s="28"/>
    </row>
    <row r="150" spans="15:23" ht="12.75" customHeight="1" x14ac:dyDescent="0.15">
      <c r="O150" s="28"/>
      <c r="P150" s="28"/>
      <c r="Q150" s="28"/>
      <c r="R150" s="28"/>
      <c r="S150" s="28"/>
      <c r="T150" s="28"/>
      <c r="U150" s="28"/>
      <c r="W150" s="28"/>
    </row>
    <row r="151" spans="15:23" ht="12.75" customHeight="1" x14ac:dyDescent="0.15">
      <c r="O151" s="28"/>
      <c r="P151" s="28"/>
      <c r="Q151" s="28"/>
      <c r="R151" s="28"/>
      <c r="S151" s="28"/>
      <c r="T151" s="28"/>
      <c r="U151" s="28"/>
      <c r="W151" s="28"/>
    </row>
    <row r="152" spans="15:23" ht="12.75" customHeight="1" x14ac:dyDescent="0.15">
      <c r="O152" s="28"/>
      <c r="P152" s="28"/>
      <c r="Q152" s="28"/>
      <c r="R152" s="28"/>
      <c r="S152" s="28"/>
      <c r="T152" s="28"/>
      <c r="U152" s="28"/>
      <c r="W152" s="28"/>
    </row>
    <row r="153" spans="15:23" ht="12.75" customHeight="1" x14ac:dyDescent="0.15">
      <c r="O153" s="28"/>
      <c r="P153" s="28"/>
      <c r="Q153" s="28"/>
      <c r="R153" s="28"/>
      <c r="S153" s="28"/>
      <c r="T153" s="28"/>
      <c r="U153" s="28"/>
      <c r="W153" s="28"/>
    </row>
    <row r="154" spans="15:23" ht="12.75" customHeight="1" x14ac:dyDescent="0.15">
      <c r="O154" s="28"/>
      <c r="P154" s="28"/>
      <c r="Q154" s="28"/>
      <c r="R154" s="28"/>
      <c r="S154" s="28"/>
      <c r="T154" s="28"/>
      <c r="U154" s="28"/>
      <c r="W154" s="28"/>
    </row>
    <row r="155" spans="15:23" ht="12.75" customHeight="1" x14ac:dyDescent="0.15">
      <c r="O155" s="28"/>
      <c r="P155" s="28"/>
      <c r="Q155" s="28"/>
      <c r="R155" s="28"/>
      <c r="S155" s="28"/>
      <c r="T155" s="28"/>
      <c r="U155" s="28"/>
      <c r="W155" s="28"/>
    </row>
    <row r="156" spans="15:23" ht="12.75" customHeight="1" x14ac:dyDescent="0.15">
      <c r="O156" s="28"/>
      <c r="P156" s="28"/>
      <c r="Q156" s="28"/>
      <c r="R156" s="28"/>
      <c r="S156" s="28"/>
      <c r="T156" s="28"/>
      <c r="U156" s="28"/>
      <c r="W156" s="28"/>
    </row>
    <row r="157" spans="15:23" ht="12.75" customHeight="1" x14ac:dyDescent="0.15">
      <c r="O157" s="28"/>
      <c r="P157" s="28"/>
      <c r="Q157" s="28"/>
      <c r="R157" s="28"/>
      <c r="S157" s="28"/>
      <c r="T157" s="28"/>
      <c r="U157" s="28"/>
      <c r="W157" s="28"/>
    </row>
    <row r="158" spans="15:23" ht="12.75" customHeight="1" x14ac:dyDescent="0.15">
      <c r="O158" s="28"/>
      <c r="P158" s="28"/>
      <c r="Q158" s="28"/>
      <c r="R158" s="28"/>
      <c r="S158" s="28"/>
      <c r="T158" s="28"/>
      <c r="U158" s="28"/>
      <c r="W158" s="28"/>
    </row>
    <row r="159" spans="15:23" ht="12.75" customHeight="1" x14ac:dyDescent="0.15">
      <c r="O159" s="28"/>
      <c r="P159" s="28"/>
      <c r="Q159" s="28"/>
      <c r="R159" s="28"/>
      <c r="S159" s="28"/>
      <c r="T159" s="28"/>
      <c r="U159" s="28"/>
      <c r="W159" s="28"/>
    </row>
    <row r="160" spans="15:23" ht="12.75" customHeight="1" x14ac:dyDescent="0.15">
      <c r="O160" s="28"/>
      <c r="P160" s="28"/>
      <c r="Q160" s="28"/>
      <c r="R160" s="28"/>
      <c r="S160" s="28"/>
      <c r="T160" s="28"/>
      <c r="U160" s="28"/>
      <c r="W160" s="28"/>
    </row>
    <row r="161" spans="15:23" ht="12.75" customHeight="1" x14ac:dyDescent="0.15">
      <c r="O161" s="28"/>
      <c r="P161" s="28"/>
      <c r="Q161" s="28"/>
      <c r="R161" s="28"/>
      <c r="S161" s="28"/>
      <c r="T161" s="28"/>
      <c r="U161" s="28"/>
      <c r="W161" s="28"/>
    </row>
    <row r="162" spans="15:23" ht="12.75" customHeight="1" x14ac:dyDescent="0.15">
      <c r="O162" s="28"/>
      <c r="P162" s="28"/>
      <c r="Q162" s="28"/>
      <c r="R162" s="28"/>
      <c r="S162" s="28"/>
      <c r="T162" s="28"/>
      <c r="U162" s="28"/>
      <c r="W162" s="28"/>
    </row>
    <row r="163" spans="15:23" ht="12.75" customHeight="1" x14ac:dyDescent="0.15">
      <c r="O163" s="28"/>
      <c r="P163" s="28"/>
      <c r="Q163" s="28"/>
      <c r="R163" s="28"/>
      <c r="S163" s="28"/>
      <c r="T163" s="28"/>
      <c r="U163" s="28"/>
      <c r="W163" s="28"/>
    </row>
    <row r="164" spans="15:23" ht="12.75" customHeight="1" x14ac:dyDescent="0.15">
      <c r="O164" s="28"/>
      <c r="P164" s="28"/>
      <c r="Q164" s="28"/>
      <c r="R164" s="28"/>
      <c r="S164" s="28"/>
      <c r="T164" s="28"/>
      <c r="U164" s="28"/>
      <c r="W164" s="28"/>
    </row>
    <row r="165" spans="15:23" ht="12.75" customHeight="1" x14ac:dyDescent="0.15">
      <c r="O165" s="28"/>
      <c r="P165" s="28"/>
      <c r="Q165" s="28"/>
      <c r="R165" s="28"/>
      <c r="S165" s="28"/>
      <c r="T165" s="28"/>
      <c r="U165" s="28"/>
      <c r="W165" s="28"/>
    </row>
    <row r="166" spans="15:23" ht="12.75" customHeight="1" x14ac:dyDescent="0.15">
      <c r="O166" s="28"/>
      <c r="P166" s="28"/>
      <c r="Q166" s="28"/>
      <c r="R166" s="28"/>
      <c r="S166" s="28"/>
      <c r="T166" s="28"/>
      <c r="U166" s="28"/>
      <c r="W166" s="28"/>
    </row>
    <row r="167" spans="15:23" ht="12.75" customHeight="1" x14ac:dyDescent="0.15">
      <c r="O167" s="28"/>
      <c r="P167" s="28"/>
      <c r="Q167" s="28"/>
      <c r="R167" s="28"/>
      <c r="S167" s="28"/>
      <c r="T167" s="28"/>
      <c r="U167" s="28"/>
      <c r="W167" s="28"/>
    </row>
    <row r="168" spans="15:23" ht="12.75" customHeight="1" x14ac:dyDescent="0.15">
      <c r="O168" s="28"/>
      <c r="P168" s="28"/>
      <c r="Q168" s="28"/>
      <c r="R168" s="28"/>
      <c r="S168" s="28"/>
      <c r="T168" s="28"/>
      <c r="U168" s="28"/>
      <c r="W168" s="28"/>
    </row>
    <row r="169" spans="15:23" ht="12.75" customHeight="1" x14ac:dyDescent="0.15">
      <c r="O169" s="28"/>
      <c r="P169" s="28"/>
      <c r="Q169" s="28"/>
      <c r="R169" s="28"/>
      <c r="S169" s="28"/>
      <c r="T169" s="28"/>
      <c r="U169" s="28"/>
      <c r="W169" s="28"/>
    </row>
    <row r="170" spans="15:23" ht="12.75" customHeight="1" x14ac:dyDescent="0.15">
      <c r="O170" s="28"/>
      <c r="P170" s="28"/>
      <c r="Q170" s="28"/>
      <c r="R170" s="28"/>
      <c r="S170" s="28"/>
      <c r="T170" s="28"/>
      <c r="U170" s="28"/>
      <c r="W170" s="28"/>
    </row>
    <row r="171" spans="15:23" ht="12.75" customHeight="1" x14ac:dyDescent="0.15">
      <c r="O171" s="28"/>
      <c r="P171" s="28"/>
      <c r="Q171" s="28"/>
      <c r="R171" s="28"/>
      <c r="S171" s="28"/>
      <c r="T171" s="28"/>
      <c r="U171" s="28"/>
      <c r="W171" s="28"/>
    </row>
    <row r="172" spans="15:23" ht="12.75" customHeight="1" x14ac:dyDescent="0.15">
      <c r="O172" s="28"/>
      <c r="P172" s="28"/>
      <c r="Q172" s="28"/>
      <c r="R172" s="28"/>
      <c r="S172" s="28"/>
      <c r="T172" s="28"/>
      <c r="U172" s="28"/>
      <c r="W172" s="28"/>
    </row>
    <row r="173" spans="15:23" ht="12.75" customHeight="1" x14ac:dyDescent="0.15">
      <c r="O173" s="28"/>
      <c r="P173" s="28"/>
      <c r="Q173" s="28"/>
      <c r="R173" s="28"/>
      <c r="S173" s="28"/>
      <c r="T173" s="28"/>
      <c r="U173" s="28"/>
      <c r="W173" s="28"/>
    </row>
    <row r="174" spans="15:23" ht="12.75" customHeight="1" x14ac:dyDescent="0.15">
      <c r="O174" s="28"/>
      <c r="P174" s="28"/>
      <c r="Q174" s="28"/>
      <c r="R174" s="28"/>
      <c r="S174" s="28"/>
      <c r="T174" s="28"/>
      <c r="U174" s="28"/>
      <c r="W174" s="28"/>
    </row>
    <row r="175" spans="15:23" ht="12.75" customHeight="1" x14ac:dyDescent="0.15">
      <c r="O175" s="28"/>
      <c r="P175" s="28"/>
      <c r="Q175" s="28"/>
      <c r="R175" s="28"/>
      <c r="S175" s="28"/>
      <c r="T175" s="28"/>
      <c r="U175" s="28"/>
      <c r="W175" s="28"/>
    </row>
    <row r="176" spans="15:23" ht="12.75" customHeight="1" x14ac:dyDescent="0.15">
      <c r="O176" s="28"/>
      <c r="P176" s="28"/>
      <c r="Q176" s="28"/>
      <c r="R176" s="28"/>
      <c r="S176" s="28"/>
      <c r="T176" s="28"/>
      <c r="U176" s="28"/>
      <c r="W176" s="28"/>
    </row>
    <row r="177" spans="15:23" ht="12.75" customHeight="1" x14ac:dyDescent="0.15">
      <c r="O177" s="28"/>
      <c r="P177" s="28"/>
      <c r="Q177" s="28"/>
      <c r="R177" s="28"/>
      <c r="S177" s="28"/>
      <c r="T177" s="28"/>
      <c r="U177" s="28"/>
      <c r="W177" s="28"/>
    </row>
    <row r="178" spans="15:23" ht="12.75" customHeight="1" x14ac:dyDescent="0.15">
      <c r="O178" s="28"/>
      <c r="P178" s="28"/>
      <c r="Q178" s="28"/>
      <c r="R178" s="28"/>
      <c r="S178" s="28"/>
      <c r="T178" s="28"/>
      <c r="U178" s="28"/>
      <c r="W178" s="28"/>
    </row>
    <row r="179" spans="15:23" ht="12.75" customHeight="1" x14ac:dyDescent="0.15">
      <c r="O179" s="28"/>
      <c r="P179" s="28"/>
      <c r="Q179" s="28"/>
      <c r="R179" s="28"/>
      <c r="S179" s="28"/>
      <c r="T179" s="28"/>
      <c r="U179" s="28"/>
      <c r="W179" s="28"/>
    </row>
    <row r="180" spans="15:23" ht="12.75" customHeight="1" x14ac:dyDescent="0.15">
      <c r="O180" s="28"/>
      <c r="P180" s="28"/>
      <c r="Q180" s="28"/>
      <c r="R180" s="28"/>
      <c r="S180" s="28"/>
      <c r="T180" s="28"/>
      <c r="U180" s="28"/>
      <c r="W180" s="28"/>
    </row>
    <row r="181" spans="15:23" ht="12.75" customHeight="1" x14ac:dyDescent="0.15">
      <c r="O181" s="28"/>
      <c r="P181" s="28"/>
      <c r="Q181" s="28"/>
      <c r="R181" s="28"/>
      <c r="S181" s="28"/>
      <c r="T181" s="28"/>
      <c r="U181" s="28"/>
      <c r="W181" s="28"/>
    </row>
    <row r="182" spans="15:23" ht="12.75" customHeight="1" x14ac:dyDescent="0.15">
      <c r="O182" s="28"/>
      <c r="P182" s="28"/>
      <c r="Q182" s="28"/>
      <c r="R182" s="28"/>
      <c r="S182" s="28"/>
      <c r="T182" s="28"/>
      <c r="U182" s="28"/>
      <c r="W182" s="28"/>
    </row>
    <row r="183" spans="15:23" ht="12.75" customHeight="1" x14ac:dyDescent="0.15">
      <c r="O183" s="28"/>
      <c r="P183" s="28"/>
      <c r="Q183" s="28"/>
      <c r="R183" s="28"/>
      <c r="S183" s="28"/>
      <c r="T183" s="28"/>
      <c r="U183" s="28"/>
      <c r="W183" s="28"/>
    </row>
    <row r="184" spans="15:23" ht="12.75" customHeight="1" x14ac:dyDescent="0.15">
      <c r="O184" s="28"/>
      <c r="P184" s="28"/>
      <c r="Q184" s="28"/>
      <c r="R184" s="28"/>
      <c r="S184" s="28"/>
      <c r="T184" s="28"/>
      <c r="U184" s="28"/>
      <c r="W184" s="28"/>
    </row>
    <row r="185" spans="15:23" ht="12.75" customHeight="1" x14ac:dyDescent="0.15">
      <c r="O185" s="28"/>
      <c r="P185" s="28"/>
      <c r="Q185" s="28"/>
      <c r="R185" s="28"/>
      <c r="S185" s="28"/>
      <c r="T185" s="28"/>
      <c r="U185" s="28"/>
      <c r="W185" s="28"/>
    </row>
    <row r="186" spans="15:23" ht="12.75" customHeight="1" x14ac:dyDescent="0.15">
      <c r="O186" s="28"/>
      <c r="P186" s="28"/>
      <c r="Q186" s="28"/>
      <c r="R186" s="28"/>
      <c r="S186" s="28"/>
      <c r="T186" s="28"/>
      <c r="U186" s="28"/>
      <c r="W186" s="28"/>
    </row>
    <row r="187" spans="15:23" ht="12.75" customHeight="1" x14ac:dyDescent="0.15">
      <c r="O187" s="28"/>
      <c r="P187" s="28"/>
      <c r="Q187" s="28"/>
      <c r="R187" s="28"/>
      <c r="S187" s="28"/>
      <c r="T187" s="28"/>
      <c r="U187" s="28"/>
      <c r="W187" s="28"/>
    </row>
    <row r="188" spans="15:23" ht="12.75" customHeight="1" x14ac:dyDescent="0.15">
      <c r="O188" s="28"/>
      <c r="P188" s="28"/>
      <c r="Q188" s="28"/>
      <c r="R188" s="28"/>
      <c r="S188" s="28"/>
      <c r="T188" s="28"/>
      <c r="U188" s="28"/>
      <c r="W188" s="28"/>
    </row>
    <row r="189" spans="15:23" ht="12.75" customHeight="1" x14ac:dyDescent="0.15">
      <c r="O189" s="28"/>
      <c r="P189" s="28"/>
      <c r="Q189" s="28"/>
      <c r="R189" s="28"/>
      <c r="S189" s="28"/>
      <c r="T189" s="28"/>
      <c r="U189" s="28"/>
      <c r="W189" s="28"/>
    </row>
    <row r="190" spans="15:23" ht="12.75" customHeight="1" x14ac:dyDescent="0.15">
      <c r="O190" s="28"/>
      <c r="P190" s="28"/>
      <c r="Q190" s="28"/>
      <c r="R190" s="28"/>
      <c r="S190" s="28"/>
      <c r="T190" s="28"/>
      <c r="U190" s="28"/>
      <c r="W190" s="28"/>
    </row>
    <row r="191" spans="15:23" ht="12.75" customHeight="1" x14ac:dyDescent="0.15">
      <c r="O191" s="28"/>
      <c r="P191" s="28"/>
      <c r="Q191" s="28"/>
      <c r="R191" s="28"/>
      <c r="S191" s="28"/>
      <c r="T191" s="28"/>
      <c r="U191" s="28"/>
      <c r="W191" s="28"/>
    </row>
    <row r="192" spans="15:23" ht="12.75" customHeight="1" x14ac:dyDescent="0.15">
      <c r="O192" s="28"/>
      <c r="P192" s="28"/>
      <c r="Q192" s="28"/>
      <c r="R192" s="28"/>
      <c r="S192" s="28"/>
      <c r="T192" s="28"/>
      <c r="U192" s="28"/>
      <c r="W192" s="28"/>
    </row>
    <row r="193" spans="15:23" ht="12.75" customHeight="1" x14ac:dyDescent="0.15">
      <c r="O193" s="28"/>
      <c r="P193" s="28"/>
      <c r="Q193" s="28"/>
      <c r="R193" s="28"/>
      <c r="S193" s="28"/>
      <c r="T193" s="28"/>
      <c r="U193" s="28"/>
      <c r="W193" s="28"/>
    </row>
    <row r="194" spans="15:23" ht="12.75" customHeight="1" x14ac:dyDescent="0.15">
      <c r="O194" s="28"/>
      <c r="P194" s="28"/>
      <c r="Q194" s="28"/>
      <c r="R194" s="28"/>
      <c r="S194" s="28"/>
      <c r="T194" s="28"/>
      <c r="U194" s="28"/>
      <c r="W194" s="28"/>
    </row>
    <row r="195" spans="15:23" ht="12.75" customHeight="1" x14ac:dyDescent="0.15">
      <c r="O195" s="28"/>
      <c r="P195" s="28"/>
      <c r="Q195" s="28"/>
      <c r="R195" s="28"/>
      <c r="S195" s="28"/>
      <c r="T195" s="28"/>
      <c r="U195" s="28"/>
      <c r="W195" s="28"/>
    </row>
    <row r="196" spans="15:23" ht="12.75" customHeight="1" x14ac:dyDescent="0.15">
      <c r="O196" s="28"/>
      <c r="P196" s="28"/>
      <c r="Q196" s="28"/>
      <c r="R196" s="28"/>
      <c r="S196" s="28"/>
      <c r="T196" s="28"/>
      <c r="U196" s="28"/>
      <c r="W196" s="28"/>
    </row>
    <row r="197" spans="15:23" ht="12.75" customHeight="1" x14ac:dyDescent="0.15">
      <c r="O197" s="28"/>
      <c r="P197" s="28"/>
      <c r="Q197" s="28"/>
      <c r="R197" s="28"/>
      <c r="S197" s="28"/>
      <c r="T197" s="28"/>
      <c r="U197" s="28"/>
      <c r="W197" s="28"/>
    </row>
    <row r="198" spans="15:23" ht="12.75" customHeight="1" x14ac:dyDescent="0.15">
      <c r="O198" s="28"/>
      <c r="P198" s="28"/>
      <c r="Q198" s="28"/>
      <c r="R198" s="28"/>
      <c r="S198" s="28"/>
      <c r="T198" s="28"/>
      <c r="U198" s="28"/>
      <c r="W198" s="28"/>
    </row>
    <row r="199" spans="15:23" ht="12.75" customHeight="1" x14ac:dyDescent="0.15">
      <c r="O199" s="28"/>
      <c r="P199" s="28"/>
      <c r="Q199" s="28"/>
      <c r="R199" s="28"/>
      <c r="S199" s="28"/>
      <c r="T199" s="28"/>
      <c r="U199" s="28"/>
      <c r="W199" s="28"/>
    </row>
    <row r="200" spans="15:23" ht="12.75" customHeight="1" x14ac:dyDescent="0.15">
      <c r="O200" s="28"/>
      <c r="P200" s="28"/>
      <c r="Q200" s="28"/>
      <c r="R200" s="28"/>
      <c r="S200" s="28"/>
      <c r="T200" s="28"/>
      <c r="U200" s="28"/>
      <c r="W200" s="28"/>
    </row>
    <row r="201" spans="15:23" ht="12.75" customHeight="1" x14ac:dyDescent="0.15">
      <c r="O201" s="28"/>
      <c r="P201" s="28"/>
      <c r="Q201" s="28"/>
      <c r="R201" s="28"/>
      <c r="S201" s="28"/>
      <c r="T201" s="28"/>
      <c r="U201" s="28"/>
      <c r="W201" s="28"/>
    </row>
    <row r="202" spans="15:23" ht="12.75" customHeight="1" x14ac:dyDescent="0.15">
      <c r="O202" s="28"/>
      <c r="P202" s="28"/>
      <c r="Q202" s="28"/>
      <c r="R202" s="28"/>
      <c r="S202" s="28"/>
      <c r="T202" s="28"/>
      <c r="U202" s="28"/>
      <c r="W202" s="28"/>
    </row>
    <row r="203" spans="15:23" ht="12.75" customHeight="1" x14ac:dyDescent="0.15">
      <c r="O203" s="28"/>
      <c r="P203" s="28"/>
      <c r="Q203" s="28"/>
      <c r="R203" s="28"/>
      <c r="S203" s="28"/>
      <c r="T203" s="28"/>
      <c r="U203" s="28"/>
      <c r="W203" s="28"/>
    </row>
    <row r="204" spans="15:23" ht="12.75" customHeight="1" x14ac:dyDescent="0.15">
      <c r="O204" s="28"/>
      <c r="P204" s="28"/>
      <c r="Q204" s="28"/>
      <c r="R204" s="28"/>
      <c r="S204" s="28"/>
      <c r="T204" s="28"/>
      <c r="U204" s="28"/>
      <c r="W204" s="28"/>
    </row>
    <row r="205" spans="15:23" ht="12.75" customHeight="1" x14ac:dyDescent="0.15">
      <c r="O205" s="28"/>
      <c r="P205" s="28"/>
      <c r="Q205" s="28"/>
      <c r="R205" s="28"/>
      <c r="S205" s="28"/>
      <c r="T205" s="28"/>
      <c r="U205" s="28"/>
      <c r="W205" s="28"/>
    </row>
    <row r="206" spans="15:23" ht="12.75" customHeight="1" x14ac:dyDescent="0.15">
      <c r="O206" s="28"/>
      <c r="P206" s="28"/>
      <c r="Q206" s="28"/>
      <c r="R206" s="28"/>
      <c r="S206" s="28"/>
      <c r="T206" s="28"/>
      <c r="U206" s="28"/>
      <c r="W206" s="28"/>
    </row>
    <row r="207" spans="15:23" ht="12.75" customHeight="1" x14ac:dyDescent="0.15">
      <c r="O207" s="28"/>
      <c r="P207" s="28"/>
      <c r="Q207" s="28"/>
      <c r="R207" s="28"/>
      <c r="S207" s="28"/>
      <c r="T207" s="28"/>
      <c r="U207" s="28"/>
      <c r="W207" s="28"/>
    </row>
    <row r="208" spans="15:23" ht="12.75" customHeight="1" x14ac:dyDescent="0.15">
      <c r="O208" s="28"/>
      <c r="P208" s="28"/>
      <c r="Q208" s="28"/>
      <c r="R208" s="28"/>
      <c r="S208" s="28"/>
      <c r="T208" s="28"/>
      <c r="U208" s="28"/>
      <c r="W208" s="28"/>
    </row>
    <row r="209" spans="15:23" ht="12.75" customHeight="1" x14ac:dyDescent="0.15">
      <c r="O209" s="28"/>
      <c r="P209" s="28"/>
      <c r="Q209" s="28"/>
      <c r="R209" s="28"/>
      <c r="S209" s="28"/>
      <c r="T209" s="28"/>
      <c r="U209" s="28"/>
      <c r="W209" s="28"/>
    </row>
    <row r="210" spans="15:23" ht="12.75" customHeight="1" x14ac:dyDescent="0.15">
      <c r="O210" s="28"/>
      <c r="P210" s="28"/>
      <c r="Q210" s="28"/>
      <c r="R210" s="28"/>
      <c r="S210" s="28"/>
      <c r="T210" s="28"/>
      <c r="U210" s="28"/>
      <c r="W210" s="28"/>
    </row>
    <row r="211" spans="15:23" ht="12.75" customHeight="1" x14ac:dyDescent="0.15">
      <c r="O211" s="28"/>
      <c r="P211" s="28"/>
      <c r="Q211" s="28"/>
      <c r="R211" s="28"/>
      <c r="S211" s="28"/>
      <c r="T211" s="28"/>
      <c r="U211" s="28"/>
      <c r="W211" s="28"/>
    </row>
    <row r="212" spans="15:23" ht="12.75" customHeight="1" x14ac:dyDescent="0.15">
      <c r="O212" s="28"/>
      <c r="P212" s="28"/>
      <c r="Q212" s="28"/>
      <c r="R212" s="28"/>
      <c r="S212" s="28"/>
      <c r="T212" s="28"/>
      <c r="U212" s="28"/>
      <c r="W212" s="28"/>
    </row>
    <row r="213" spans="15:23" ht="12.75" customHeight="1" x14ac:dyDescent="0.15">
      <c r="O213" s="28"/>
      <c r="P213" s="28"/>
      <c r="Q213" s="28"/>
      <c r="R213" s="28"/>
      <c r="S213" s="28"/>
      <c r="T213" s="28"/>
      <c r="U213" s="28"/>
      <c r="W213" s="28"/>
    </row>
    <row r="214" spans="15:23" ht="12.75" customHeight="1" x14ac:dyDescent="0.15">
      <c r="O214" s="28"/>
      <c r="P214" s="28"/>
      <c r="Q214" s="28"/>
      <c r="R214" s="28"/>
      <c r="S214" s="28"/>
      <c r="T214" s="28"/>
      <c r="U214" s="28"/>
      <c r="W214" s="28"/>
    </row>
    <row r="215" spans="15:23" ht="12.75" customHeight="1" x14ac:dyDescent="0.15">
      <c r="O215" s="28"/>
      <c r="P215" s="28"/>
      <c r="Q215" s="28"/>
      <c r="R215" s="28"/>
      <c r="S215" s="28"/>
      <c r="T215" s="28"/>
      <c r="U215" s="28"/>
      <c r="W215" s="28"/>
    </row>
    <row r="216" spans="15:23" ht="12.75" customHeight="1" x14ac:dyDescent="0.15">
      <c r="O216" s="28"/>
      <c r="P216" s="28"/>
      <c r="Q216" s="28"/>
      <c r="R216" s="28"/>
      <c r="S216" s="28"/>
      <c r="T216" s="28"/>
      <c r="U216" s="28"/>
      <c r="W216" s="28"/>
    </row>
    <row r="217" spans="15:23" ht="12.75" customHeight="1" x14ac:dyDescent="0.15">
      <c r="O217" s="28"/>
      <c r="P217" s="28"/>
      <c r="Q217" s="28"/>
      <c r="R217" s="28"/>
      <c r="S217" s="28"/>
      <c r="T217" s="28"/>
      <c r="U217" s="28"/>
      <c r="W217" s="28"/>
    </row>
    <row r="218" spans="15:23" ht="12.75" customHeight="1" x14ac:dyDescent="0.15">
      <c r="O218" s="28"/>
      <c r="P218" s="28"/>
      <c r="Q218" s="28"/>
      <c r="R218" s="28"/>
      <c r="S218" s="28"/>
      <c r="T218" s="28"/>
      <c r="U218" s="28"/>
      <c r="W218" s="28"/>
    </row>
    <row r="219" spans="15:23" ht="12.75" customHeight="1" x14ac:dyDescent="0.15">
      <c r="O219" s="28"/>
      <c r="P219" s="28"/>
      <c r="Q219" s="28"/>
      <c r="R219" s="28"/>
      <c r="S219" s="28"/>
      <c r="T219" s="28"/>
      <c r="U219" s="28"/>
      <c r="W219" s="28"/>
    </row>
    <row r="220" spans="15:23" ht="12.75" customHeight="1" x14ac:dyDescent="0.15">
      <c r="O220" s="28"/>
      <c r="P220" s="28"/>
      <c r="Q220" s="28"/>
      <c r="R220" s="28"/>
      <c r="S220" s="28"/>
      <c r="T220" s="28"/>
      <c r="U220" s="28"/>
      <c r="W220" s="28"/>
    </row>
    <row r="221" spans="15:23" ht="15.75" customHeight="1" x14ac:dyDescent="0.15">
      <c r="O221" s="28"/>
      <c r="P221" s="28"/>
      <c r="Q221" s="28"/>
      <c r="R221" s="28"/>
      <c r="S221" s="28"/>
      <c r="T221" s="28"/>
      <c r="U221" s="28"/>
      <c r="W221" s="28"/>
    </row>
    <row r="222" spans="15:23" ht="15.75" customHeight="1" x14ac:dyDescent="0.15"/>
    <row r="223" spans="15:23" ht="15.75" customHeight="1" x14ac:dyDescent="0.15"/>
    <row r="224" spans="15:23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autoFilter ref="A3:F19" xr:uid="{00000000-0009-0000-0000-000000000000}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dxfId="10" priority="1">
      <formula>LEN(TRIM(G5))&gt;0</formula>
    </cfRule>
  </conditionalFormatting>
  <conditionalFormatting sqref="N5:N19">
    <cfRule type="cellIs" dxfId="9" priority="2" operator="equal">
      <formula>"Accredited"</formula>
    </cfRule>
  </conditionalFormatting>
  <conditionalFormatting sqref="O5:T19">
    <cfRule type="notContainsBlanks" dxfId="8" priority="3">
      <formula>LEN(TRIM(O5))&gt;0</formula>
    </cfRule>
  </conditionalFormatting>
  <conditionalFormatting sqref="U5:U19">
    <cfRule type="cellIs" dxfId="7" priority="4" operator="equal">
      <formula>"Accredited"</formula>
    </cfRule>
  </conditionalFormatting>
  <conditionalFormatting sqref="V5:V19">
    <cfRule type="notContainsBlanks" dxfId="6" priority="5">
      <formula>LEN(TRIM(V5))&gt;0</formula>
    </cfRule>
  </conditionalFormatting>
  <conditionalFormatting sqref="W5:W15 W17:W19">
    <cfRule type="cellIs" dxfId="5" priority="6" operator="equal">
      <formula>"Accredited"</formula>
    </cfRule>
  </conditionalFormatting>
  <conditionalFormatting sqref="W16">
    <cfRule type="cellIs" dxfId="4" priority="7" operator="equal">
      <formula>"Accredited"</formula>
    </cfRule>
  </conditionalFormatting>
  <conditionalFormatting sqref="X5:X19">
    <cfRule type="notContainsBlanks" dxfId="3" priority="8">
      <formula>LEN(TRIM(X5))&gt;0</formula>
    </cfRule>
  </conditionalFormatting>
  <conditionalFormatting sqref="Y5:AF19">
    <cfRule type="containsText" dxfId="2" priority="9" operator="containsText" text="high">
      <formula>NOT(ISERROR(SEARCH(("high"),(Y5))))</formula>
    </cfRule>
    <cfRule type="containsText" dxfId="1" priority="10" operator="containsText" text="medium">
      <formula>NOT(ISERROR(SEARCH(("medium"),(Y5))))</formula>
    </cfRule>
    <cfRule type="containsText" dxfId="0" priority="11" operator="containsText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workbookViewId="0"/>
  </sheetViews>
  <sheetFormatPr baseColWidth="10" defaultColWidth="12.6640625" defaultRowHeight="15" customHeight="1" x14ac:dyDescent="0.15"/>
  <cols>
    <col min="1" max="26" width="8.83203125" customWidth="1"/>
  </cols>
  <sheetData>
    <row r="1" spans="1:16" ht="12.75" customHeight="1" x14ac:dyDescent="0.15">
      <c r="A1" s="27" t="s">
        <v>10</v>
      </c>
      <c r="B1" s="27" t="s">
        <v>12</v>
      </c>
      <c r="C1" s="27" t="s">
        <v>85</v>
      </c>
      <c r="D1" s="27" t="s">
        <v>86</v>
      </c>
      <c r="E1" s="27" t="s">
        <v>87</v>
      </c>
      <c r="F1" s="27" t="s">
        <v>88</v>
      </c>
      <c r="G1" s="27" t="s">
        <v>89</v>
      </c>
      <c r="H1" s="27" t="s">
        <v>90</v>
      </c>
      <c r="I1" s="27" t="s">
        <v>91</v>
      </c>
      <c r="J1" s="27" t="s">
        <v>92</v>
      </c>
      <c r="K1" s="27" t="s">
        <v>93</v>
      </c>
      <c r="L1" s="27" t="s">
        <v>94</v>
      </c>
      <c r="M1" s="27" t="s">
        <v>95</v>
      </c>
      <c r="N1" s="27" t="s">
        <v>96</v>
      </c>
      <c r="O1" s="27" t="s">
        <v>97</v>
      </c>
      <c r="P1" s="27" t="s">
        <v>98</v>
      </c>
    </row>
    <row r="2" spans="1:16" ht="12.75" customHeight="1" x14ac:dyDescent="0.15">
      <c r="A2" s="27">
        <v>581437</v>
      </c>
      <c r="B2" s="27" t="s">
        <v>33</v>
      </c>
      <c r="C2" s="27">
        <v>28</v>
      </c>
      <c r="D2" s="27">
        <v>30</v>
      </c>
      <c r="E2" s="27">
        <v>12</v>
      </c>
      <c r="F2" s="27">
        <v>30</v>
      </c>
      <c r="G2" s="27">
        <v>17</v>
      </c>
      <c r="H2" s="27">
        <v>49</v>
      </c>
      <c r="I2" s="27">
        <v>12</v>
      </c>
      <c r="J2" s="27">
        <v>38</v>
      </c>
      <c r="K2" s="27">
        <v>12</v>
      </c>
      <c r="L2" s="27">
        <v>37</v>
      </c>
      <c r="M2" s="27">
        <v>40</v>
      </c>
      <c r="N2" s="27">
        <v>21</v>
      </c>
      <c r="O2" s="27">
        <v>64</v>
      </c>
      <c r="P2" s="27">
        <v>11</v>
      </c>
    </row>
    <row r="3" spans="1:16" ht="12.75" customHeight="1" x14ac:dyDescent="0.15">
      <c r="A3" s="27">
        <v>390733</v>
      </c>
      <c r="B3" s="27" t="s">
        <v>42</v>
      </c>
      <c r="C3" s="27">
        <v>1</v>
      </c>
      <c r="D3" s="27">
        <v>1</v>
      </c>
      <c r="E3" s="27">
        <v>1</v>
      </c>
      <c r="F3" s="27">
        <v>1</v>
      </c>
      <c r="G3" s="27">
        <v>1</v>
      </c>
      <c r="H3" s="27">
        <v>1</v>
      </c>
      <c r="I3" s="27">
        <v>1</v>
      </c>
      <c r="J3" s="27">
        <v>3</v>
      </c>
      <c r="K3" s="27">
        <v>1</v>
      </c>
      <c r="L3" s="27">
        <v>1</v>
      </c>
      <c r="M3" s="27">
        <v>1</v>
      </c>
      <c r="N3" s="27">
        <v>1</v>
      </c>
      <c r="O3" s="27">
        <v>1</v>
      </c>
    </row>
    <row r="4" spans="1:16" ht="12.75" customHeight="1" x14ac:dyDescent="0.15">
      <c r="A4" s="27">
        <v>739732</v>
      </c>
      <c r="B4" s="27" t="s">
        <v>46</v>
      </c>
      <c r="C4" s="27">
        <v>3</v>
      </c>
      <c r="D4" s="27">
        <v>6</v>
      </c>
      <c r="E4" s="27">
        <v>5</v>
      </c>
      <c r="F4" s="27">
        <v>4</v>
      </c>
      <c r="G4" s="27">
        <v>3</v>
      </c>
      <c r="H4" s="27">
        <v>5</v>
      </c>
      <c r="I4" s="27">
        <v>4</v>
      </c>
      <c r="J4" s="27">
        <v>8</v>
      </c>
      <c r="K4" s="27">
        <v>2</v>
      </c>
      <c r="L4" s="27">
        <v>3</v>
      </c>
      <c r="M4" s="27">
        <v>4</v>
      </c>
      <c r="N4" s="27">
        <v>5</v>
      </c>
      <c r="O4" s="27">
        <v>7</v>
      </c>
      <c r="P4" s="27">
        <v>2</v>
      </c>
    </row>
    <row r="5" spans="1:16" ht="12.75" customHeight="1" x14ac:dyDescent="0.15">
      <c r="A5" s="27">
        <v>579399</v>
      </c>
      <c r="B5" s="27" t="s">
        <v>50</v>
      </c>
      <c r="C5" s="27">
        <v>7</v>
      </c>
      <c r="D5" s="27">
        <v>7</v>
      </c>
      <c r="E5" s="27">
        <v>9</v>
      </c>
      <c r="F5" s="27">
        <v>7</v>
      </c>
      <c r="G5" s="27">
        <v>3</v>
      </c>
      <c r="H5" s="27">
        <v>4</v>
      </c>
      <c r="I5" s="27">
        <v>8</v>
      </c>
      <c r="J5" s="27">
        <v>9</v>
      </c>
      <c r="K5" s="27">
        <v>4</v>
      </c>
      <c r="L5" s="27">
        <v>6</v>
      </c>
      <c r="M5" s="27">
        <v>5</v>
      </c>
      <c r="N5" s="27">
        <v>5</v>
      </c>
      <c r="O5" s="27">
        <v>8</v>
      </c>
      <c r="P5" s="27">
        <v>5</v>
      </c>
    </row>
    <row r="6" spans="1:16" ht="12.75" customHeight="1" x14ac:dyDescent="0.15">
      <c r="A6" s="27">
        <v>397166</v>
      </c>
      <c r="B6" s="27" t="s">
        <v>54</v>
      </c>
      <c r="C6" s="27">
        <v>14</v>
      </c>
      <c r="D6" s="27">
        <v>20</v>
      </c>
      <c r="E6" s="27">
        <v>7</v>
      </c>
      <c r="F6" s="27">
        <v>4</v>
      </c>
      <c r="G6" s="27">
        <v>9</v>
      </c>
      <c r="H6" s="27">
        <v>9</v>
      </c>
      <c r="I6" s="27">
        <v>4</v>
      </c>
      <c r="J6" s="27">
        <v>8</v>
      </c>
      <c r="K6" s="27">
        <v>3</v>
      </c>
      <c r="L6" s="27">
        <v>6</v>
      </c>
      <c r="M6" s="27">
        <v>9</v>
      </c>
      <c r="N6" s="27">
        <v>5</v>
      </c>
      <c r="O6" s="27">
        <v>15</v>
      </c>
      <c r="P6" s="27">
        <v>11</v>
      </c>
    </row>
    <row r="7" spans="1:16" ht="12.75" customHeight="1" x14ac:dyDescent="0.15">
      <c r="A7" s="27">
        <v>993857</v>
      </c>
      <c r="B7" s="27" t="s">
        <v>59</v>
      </c>
      <c r="H7" s="27">
        <v>1</v>
      </c>
      <c r="J7" s="27">
        <v>1</v>
      </c>
      <c r="N7" s="27">
        <v>1</v>
      </c>
      <c r="O7" s="27">
        <v>1</v>
      </c>
    </row>
    <row r="8" spans="1:16" ht="12.75" customHeight="1" x14ac:dyDescent="0.15">
      <c r="A8" s="27">
        <v>510201</v>
      </c>
      <c r="B8" s="27" t="s">
        <v>62</v>
      </c>
      <c r="C8" s="27">
        <v>2</v>
      </c>
      <c r="D8" s="27">
        <v>6</v>
      </c>
      <c r="E8" s="27">
        <v>1</v>
      </c>
      <c r="F8" s="27">
        <v>4</v>
      </c>
      <c r="H8" s="27">
        <v>1</v>
      </c>
      <c r="J8" s="27">
        <v>2</v>
      </c>
      <c r="K8" s="27">
        <v>1</v>
      </c>
      <c r="L8" s="27">
        <v>4</v>
      </c>
      <c r="M8" s="27">
        <v>3</v>
      </c>
      <c r="N8" s="27">
        <v>2</v>
      </c>
      <c r="O8" s="27">
        <v>7</v>
      </c>
      <c r="P8" s="27">
        <v>1</v>
      </c>
    </row>
    <row r="9" spans="1:16" ht="12.75" customHeight="1" x14ac:dyDescent="0.15">
      <c r="A9" s="27">
        <v>458265</v>
      </c>
      <c r="B9" s="27" t="s">
        <v>65</v>
      </c>
      <c r="C9" s="27">
        <v>5</v>
      </c>
      <c r="D9" s="27">
        <v>5</v>
      </c>
      <c r="E9" s="27">
        <v>3</v>
      </c>
      <c r="F9" s="27">
        <v>3</v>
      </c>
      <c r="G9" s="27">
        <v>3</v>
      </c>
      <c r="H9" s="27">
        <v>5</v>
      </c>
      <c r="I9" s="27">
        <v>2</v>
      </c>
      <c r="J9" s="27">
        <v>4</v>
      </c>
      <c r="K9" s="27">
        <v>2</v>
      </c>
      <c r="L9" s="27">
        <v>4</v>
      </c>
      <c r="M9" s="27">
        <v>4</v>
      </c>
      <c r="N9" s="27">
        <v>4</v>
      </c>
      <c r="O9" s="27">
        <v>6</v>
      </c>
      <c r="P9" s="27">
        <v>6</v>
      </c>
    </row>
    <row r="10" spans="1:16" ht="12.75" customHeight="1" x14ac:dyDescent="0.15">
      <c r="A10" s="27">
        <v>119472</v>
      </c>
      <c r="B10" s="27" t="s">
        <v>68</v>
      </c>
      <c r="F10" s="27">
        <v>1</v>
      </c>
      <c r="G10" s="27">
        <v>2</v>
      </c>
      <c r="H10" s="27">
        <v>2</v>
      </c>
      <c r="K10" s="27">
        <v>1</v>
      </c>
      <c r="L10" s="27">
        <v>1</v>
      </c>
      <c r="O10" s="27">
        <v>2</v>
      </c>
      <c r="P10" s="27">
        <v>6</v>
      </c>
    </row>
    <row r="11" spans="1:16" ht="12.75" customHeight="1" x14ac:dyDescent="0.15">
      <c r="A11" s="27">
        <v>106294</v>
      </c>
      <c r="B11" s="27" t="s">
        <v>71</v>
      </c>
      <c r="C11" s="27">
        <v>5</v>
      </c>
      <c r="D11" s="27">
        <v>5</v>
      </c>
      <c r="E11" s="27">
        <v>5</v>
      </c>
      <c r="F11" s="27">
        <v>6</v>
      </c>
      <c r="G11" s="27">
        <v>2</v>
      </c>
      <c r="H11" s="27">
        <v>5</v>
      </c>
      <c r="I11" s="27">
        <v>4</v>
      </c>
      <c r="J11" s="27">
        <v>5</v>
      </c>
      <c r="K11" s="27">
        <v>3</v>
      </c>
      <c r="L11" s="27">
        <v>4</v>
      </c>
      <c r="M11" s="27">
        <v>5</v>
      </c>
      <c r="N11" s="27">
        <v>6</v>
      </c>
      <c r="O11" s="27">
        <v>8</v>
      </c>
      <c r="P11" s="27">
        <v>4</v>
      </c>
    </row>
    <row r="12" spans="1:16" ht="12.75" customHeight="1" x14ac:dyDescent="0.15">
      <c r="A12" s="27">
        <v>543439</v>
      </c>
      <c r="B12" s="27" t="s">
        <v>74</v>
      </c>
      <c r="C12" s="27">
        <v>1</v>
      </c>
      <c r="H12" s="27">
        <v>1</v>
      </c>
      <c r="O12" s="27">
        <v>4</v>
      </c>
      <c r="P12" s="27">
        <v>3</v>
      </c>
    </row>
    <row r="13" spans="1:16" ht="12.75" customHeight="1" x14ac:dyDescent="0.15">
      <c r="A13" s="27">
        <v>686107</v>
      </c>
      <c r="B13" s="27" t="s">
        <v>79</v>
      </c>
      <c r="C13" s="27">
        <v>1</v>
      </c>
      <c r="D13" s="27">
        <v>5</v>
      </c>
      <c r="E13" s="27">
        <v>1</v>
      </c>
      <c r="F13" s="27">
        <v>6</v>
      </c>
      <c r="G13" s="27">
        <v>1</v>
      </c>
      <c r="H13" s="27">
        <v>4</v>
      </c>
      <c r="J13" s="27">
        <v>5</v>
      </c>
      <c r="L13" s="27">
        <v>4</v>
      </c>
      <c r="M13" s="27">
        <v>4</v>
      </c>
      <c r="N13" s="27">
        <v>3</v>
      </c>
      <c r="O13" s="27">
        <v>9</v>
      </c>
      <c r="P13" s="27">
        <v>1</v>
      </c>
    </row>
    <row r="14" spans="1:16" ht="12.75" customHeight="1" x14ac:dyDescent="0.15">
      <c r="A14" s="27" t="s">
        <v>81</v>
      </c>
      <c r="B14" s="27" t="s">
        <v>83</v>
      </c>
      <c r="C14" s="27">
        <v>1</v>
      </c>
      <c r="D14" s="27">
        <v>3</v>
      </c>
      <c r="E14" s="27">
        <v>1</v>
      </c>
      <c r="F14" s="27">
        <v>0</v>
      </c>
      <c r="G14" s="27">
        <v>0</v>
      </c>
      <c r="H14" s="27">
        <v>0</v>
      </c>
      <c r="I14">
        <v>0</v>
      </c>
      <c r="J14" s="27">
        <v>0</v>
      </c>
      <c r="K14">
        <v>0</v>
      </c>
      <c r="L14" s="27">
        <v>0</v>
      </c>
      <c r="M14" s="27">
        <v>0</v>
      </c>
      <c r="N14" s="27">
        <v>3</v>
      </c>
      <c r="O14" s="27">
        <v>3</v>
      </c>
      <c r="P14" s="27">
        <v>0</v>
      </c>
    </row>
    <row r="15" spans="1:16" ht="12.75" customHeight="1" x14ac:dyDescent="0.15"/>
    <row r="16" spans="1:16" ht="12.75" customHeight="1" x14ac:dyDescent="0.15"/>
    <row r="17" ht="12.75" customHeight="1" x14ac:dyDescent="0.15"/>
    <row r="18" ht="12.75" customHeight="1" x14ac:dyDescent="0.15"/>
    <row r="19" ht="12.75" customHeight="1" x14ac:dyDescent="0.15"/>
    <row r="20" ht="12.75" customHeight="1" x14ac:dyDescent="0.15"/>
    <row r="21" ht="12.75" customHeight="1" x14ac:dyDescent="0.15"/>
    <row r="22" ht="12.75" customHeight="1" x14ac:dyDescent="0.15"/>
    <row r="23" ht="12.75" customHeight="1" x14ac:dyDescent="0.15"/>
    <row r="24" ht="12.75" customHeight="1" x14ac:dyDescent="0.15"/>
    <row r="25" ht="12.75" customHeight="1" x14ac:dyDescent="0.15"/>
    <row r="26" ht="12.75" customHeight="1" x14ac:dyDescent="0.15"/>
    <row r="27" ht="12.75" customHeight="1" x14ac:dyDescent="0.15"/>
    <row r="28" ht="12.75" customHeight="1" x14ac:dyDescent="0.15"/>
    <row r="29" ht="12.75" customHeight="1" x14ac:dyDescent="0.15"/>
    <row r="30" ht="12.75" customHeight="1" x14ac:dyDescent="0.15"/>
    <row r="31" ht="12.75" customHeight="1" x14ac:dyDescent="0.15"/>
    <row r="32" ht="12.75" customHeight="1" x14ac:dyDescent="0.15"/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baseColWidth="10" defaultColWidth="12.6640625" defaultRowHeight="15" customHeight="1" x14ac:dyDescent="0.15"/>
  <cols>
    <col min="1" max="26" width="8.6640625" customWidth="1"/>
  </cols>
  <sheetData>
    <row r="1" spans="1:8" ht="13" customHeight="1" x14ac:dyDescent="0.15">
      <c r="A1" s="27" t="s">
        <v>99</v>
      </c>
      <c r="B1" s="27" t="s">
        <v>100</v>
      </c>
      <c r="C1" s="27" t="s">
        <v>12</v>
      </c>
      <c r="D1" s="27" t="s">
        <v>101</v>
      </c>
      <c r="E1" s="27" t="s">
        <v>102</v>
      </c>
      <c r="F1" s="27" t="s">
        <v>103</v>
      </c>
      <c r="G1" s="27" t="s">
        <v>104</v>
      </c>
      <c r="H1" s="27" t="s">
        <v>105</v>
      </c>
    </row>
    <row r="2" spans="1:8" ht="13" customHeight="1" x14ac:dyDescent="0.15">
      <c r="A2" s="27" t="s">
        <v>106</v>
      </c>
      <c r="B2" s="27" t="s">
        <v>107</v>
      </c>
      <c r="C2" s="27" t="s">
        <v>33</v>
      </c>
      <c r="D2" s="27" t="b">
        <v>1</v>
      </c>
      <c r="E2" s="27" t="b">
        <v>1</v>
      </c>
      <c r="F2" s="27" t="b">
        <v>1</v>
      </c>
      <c r="G2" s="27" t="b">
        <v>0</v>
      </c>
      <c r="H2" s="27" t="s">
        <v>108</v>
      </c>
    </row>
    <row r="3" spans="1:8" ht="13" customHeight="1" x14ac:dyDescent="0.15">
      <c r="A3" s="27" t="s">
        <v>109</v>
      </c>
      <c r="B3" s="27" t="s">
        <v>110</v>
      </c>
      <c r="C3" s="27" t="s">
        <v>33</v>
      </c>
      <c r="D3" s="27" t="b">
        <v>1</v>
      </c>
      <c r="E3" s="27" t="b">
        <v>1</v>
      </c>
      <c r="F3" s="27" t="b">
        <v>1</v>
      </c>
      <c r="G3" s="27" t="b">
        <v>0</v>
      </c>
      <c r="H3" s="27" t="s">
        <v>108</v>
      </c>
    </row>
    <row r="4" spans="1:8" ht="13" customHeight="1" x14ac:dyDescent="0.15">
      <c r="A4" s="27" t="s">
        <v>111</v>
      </c>
      <c r="B4" s="27" t="s">
        <v>112</v>
      </c>
      <c r="C4" s="27" t="s">
        <v>42</v>
      </c>
      <c r="D4" s="27" t="b">
        <v>1</v>
      </c>
      <c r="E4" s="27" t="b">
        <v>1</v>
      </c>
      <c r="F4" s="27" t="b">
        <v>1</v>
      </c>
      <c r="G4" s="27" t="b">
        <v>0</v>
      </c>
      <c r="H4" s="27" t="s">
        <v>108</v>
      </c>
    </row>
    <row r="5" spans="1:8" ht="13" customHeight="1" x14ac:dyDescent="0.15">
      <c r="A5" s="27" t="s">
        <v>113</v>
      </c>
      <c r="B5" s="27" t="s">
        <v>114</v>
      </c>
      <c r="C5" s="27" t="s">
        <v>46</v>
      </c>
      <c r="D5" s="27" t="b">
        <v>1</v>
      </c>
      <c r="E5" s="27" t="b">
        <v>1</v>
      </c>
      <c r="F5" s="27" t="b">
        <v>1</v>
      </c>
      <c r="G5" s="27" t="b">
        <v>0</v>
      </c>
      <c r="H5" s="27" t="s">
        <v>108</v>
      </c>
    </row>
    <row r="6" spans="1:8" ht="13" customHeight="1" x14ac:dyDescent="0.15">
      <c r="A6" s="27" t="s">
        <v>115</v>
      </c>
      <c r="B6" s="27" t="s">
        <v>116</v>
      </c>
      <c r="C6" s="27" t="s">
        <v>46</v>
      </c>
      <c r="D6" s="27" t="b">
        <v>1</v>
      </c>
      <c r="E6" s="27" t="b">
        <v>1</v>
      </c>
      <c r="F6" s="27" t="b">
        <v>1</v>
      </c>
      <c r="G6" s="27" t="b">
        <v>0</v>
      </c>
      <c r="H6" s="27" t="s">
        <v>108</v>
      </c>
    </row>
    <row r="7" spans="1:8" ht="13" customHeight="1" x14ac:dyDescent="0.15">
      <c r="A7" s="27" t="s">
        <v>117</v>
      </c>
      <c r="B7" s="27" t="s">
        <v>118</v>
      </c>
      <c r="C7" s="27" t="s">
        <v>119</v>
      </c>
      <c r="D7" s="27" t="b">
        <v>0</v>
      </c>
      <c r="E7" s="27" t="b">
        <v>0</v>
      </c>
      <c r="F7" s="27" t="b">
        <v>0</v>
      </c>
      <c r="G7" s="27" t="b">
        <v>0</v>
      </c>
      <c r="H7" s="27" t="s">
        <v>120</v>
      </c>
    </row>
    <row r="8" spans="1:8" ht="13" customHeight="1" x14ac:dyDescent="0.15">
      <c r="A8" s="27" t="s">
        <v>121</v>
      </c>
      <c r="B8" s="27" t="s">
        <v>121</v>
      </c>
      <c r="C8" s="27" t="s">
        <v>54</v>
      </c>
      <c r="D8" s="27" t="b">
        <v>0</v>
      </c>
      <c r="E8" s="27" t="b">
        <v>0</v>
      </c>
      <c r="F8" s="27" t="b">
        <v>0</v>
      </c>
      <c r="G8" s="27" t="b">
        <v>0</v>
      </c>
      <c r="H8" s="27" t="s">
        <v>122</v>
      </c>
    </row>
    <row r="9" spans="1:8" ht="13" customHeight="1" x14ac:dyDescent="0.15">
      <c r="A9" s="27" t="s">
        <v>123</v>
      </c>
      <c r="B9" s="27" t="s">
        <v>124</v>
      </c>
      <c r="C9" s="27" t="s">
        <v>125</v>
      </c>
      <c r="D9" s="27" t="b">
        <v>0</v>
      </c>
      <c r="E9" s="27" t="b">
        <v>1</v>
      </c>
      <c r="F9" s="27" t="b">
        <v>1</v>
      </c>
      <c r="G9" s="27" t="b">
        <v>0</v>
      </c>
      <c r="H9" s="27" t="s">
        <v>126</v>
      </c>
    </row>
    <row r="10" spans="1:8" ht="13" customHeight="1" x14ac:dyDescent="0.15">
      <c r="A10" s="27" t="s">
        <v>127</v>
      </c>
      <c r="B10" s="27" t="s">
        <v>128</v>
      </c>
      <c r="C10" s="27" t="s">
        <v>125</v>
      </c>
      <c r="D10" s="27" t="b">
        <v>0</v>
      </c>
      <c r="E10" s="27" t="b">
        <v>1</v>
      </c>
      <c r="F10" s="27" t="b">
        <v>1</v>
      </c>
      <c r="G10" s="27" t="b">
        <v>0</v>
      </c>
      <c r="H10" s="27" t="s">
        <v>126</v>
      </c>
    </row>
    <row r="11" spans="1:8" ht="13" customHeight="1" x14ac:dyDescent="0.15">
      <c r="A11" s="27" t="s">
        <v>129</v>
      </c>
      <c r="B11" s="27" t="s">
        <v>130</v>
      </c>
      <c r="C11" s="27" t="s">
        <v>131</v>
      </c>
      <c r="D11" s="27" t="b">
        <v>0</v>
      </c>
      <c r="E11" s="27" t="b">
        <v>1</v>
      </c>
      <c r="F11" s="27" t="b">
        <v>1</v>
      </c>
      <c r="G11" s="27" t="b">
        <v>0</v>
      </c>
      <c r="H11" s="27" t="s">
        <v>132</v>
      </c>
    </row>
    <row r="12" spans="1:8" ht="13" customHeight="1" x14ac:dyDescent="0.15">
      <c r="A12" s="27" t="s">
        <v>133</v>
      </c>
      <c r="B12" s="27" t="s">
        <v>134</v>
      </c>
      <c r="C12" s="27" t="s">
        <v>131</v>
      </c>
      <c r="D12" s="27" t="b">
        <v>0</v>
      </c>
      <c r="E12" s="27" t="b">
        <v>1</v>
      </c>
      <c r="F12" s="27" t="b">
        <v>1</v>
      </c>
      <c r="G12" s="27" t="b">
        <v>0</v>
      </c>
      <c r="H12" s="27" t="s">
        <v>132</v>
      </c>
    </row>
    <row r="13" spans="1:8" ht="13" customHeight="1" x14ac:dyDescent="0.15">
      <c r="A13" s="27" t="s">
        <v>135</v>
      </c>
      <c r="B13" s="27" t="s">
        <v>136</v>
      </c>
      <c r="C13" s="27" t="s">
        <v>49</v>
      </c>
      <c r="D13" s="27" t="b">
        <v>1</v>
      </c>
      <c r="E13" s="27" t="b">
        <v>1</v>
      </c>
      <c r="F13" s="27" t="b">
        <v>1</v>
      </c>
      <c r="G13" s="27" t="b">
        <v>1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</vt:lpstr>
      <vt:lpstr>Tech Certs</vt:lpstr>
      <vt:lpstr>Guardian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Marcelo Rovere</cp:lastModifiedBy>
  <dcterms:created xsi:type="dcterms:W3CDTF">2026-06-15T01:56:32Z</dcterms:created>
  <dcterms:modified xsi:type="dcterms:W3CDTF">2026-07-02T14:09:53Z</dcterms:modified>
</cp:coreProperties>
</file>