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29400" windowHeight="16960" tabRatio="600" firstSheet="0" activeTab="0" autoFilterDateGrouping="1"/>
  </bookViews>
  <sheets>
    <sheet name="BR" sheetId="1" state="visible" r:id="rId1"/>
    <sheet name="Guardian" sheetId="2" state="visible" r:id="rId2"/>
    <sheet name="Tech Certs" sheetId="3" state="visible" r:id="rId3"/>
  </sheets>
  <definedNames>
    <definedName name="_xlnm._FilterDatabase" localSheetId="0" hidden="1">'BR'!$A$3:$F$19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family val="2"/>
      <b val="1"/>
      <color rgb="FFFFFFFF"/>
      <sz val="16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Arial"/>
      <family val="2"/>
      <color theme="1"/>
      <sz val="10"/>
    </font>
    <font>
      <name val="Arial"/>
      <family val="2"/>
      <color theme="1"/>
      <sz val="10"/>
      <scheme val="minor"/>
    </font>
  </fonts>
  <fills count="15">
    <fill>
      <patternFill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1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3" borderId="2" pivotButton="0" quotePrefix="0" xfId="0"/>
    <xf numFmtId="0" fontId="2" fillId="3" borderId="3" pivotButton="0" quotePrefix="0" xfId="0"/>
    <xf numFmtId="0" fontId="2" fillId="3" borderId="4" pivotButton="0" quotePrefix="0" xfId="0"/>
    <xf numFmtId="0" fontId="2" fillId="6" borderId="5" applyAlignment="1" pivotButton="0" quotePrefix="0" xfId="0">
      <alignment horizontal="center"/>
    </xf>
    <xf numFmtId="0" fontId="2" fillId="7" borderId="5" applyAlignment="1" pivotButton="0" quotePrefix="0" xfId="0">
      <alignment horizontal="center"/>
    </xf>
    <xf numFmtId="0" fontId="2" fillId="8" borderId="5" applyAlignment="1" pivotButton="0" quotePrefix="0" xfId="0">
      <alignment horizontal="center"/>
    </xf>
    <xf numFmtId="0" fontId="2" fillId="3" borderId="6" pivotButton="0" quotePrefix="0" xfId="0"/>
    <xf numFmtId="0" fontId="2" fillId="3" borderId="7" pivotButton="0" quotePrefix="0" xfId="0"/>
    <xf numFmtId="0" fontId="2" fillId="3" borderId="8" pivotButton="0" quotePrefix="0" xfId="0"/>
    <xf numFmtId="0" fontId="2" fillId="4" borderId="9" applyAlignment="1" pivotButton="0" quotePrefix="0" xfId="0">
      <alignment horizontal="center"/>
    </xf>
    <xf numFmtId="0" fontId="2" fillId="4" borderId="5" applyAlignment="1" pivotButton="0" quotePrefix="0" xfId="0">
      <alignment horizontal="center"/>
    </xf>
    <xf numFmtId="0" fontId="2" fillId="5" borderId="5" applyAlignment="1" pivotButton="0" quotePrefix="0" xfId="0">
      <alignment horizontal="center"/>
    </xf>
    <xf numFmtId="0" fontId="2" fillId="8" borderId="10" pivotButton="0" quotePrefix="0" xfId="0"/>
    <xf numFmtId="0" fontId="2" fillId="9" borderId="5" applyAlignment="1" pivotButton="0" quotePrefix="0" xfId="0">
      <alignment horizontal="center"/>
    </xf>
    <xf numFmtId="0" fontId="2" fillId="10" borderId="5" applyAlignment="1" pivotButton="0" quotePrefix="0" xfId="0">
      <alignment horizontal="center"/>
    </xf>
    <xf numFmtId="0" fontId="2" fillId="11" borderId="11" pivotButton="0" quotePrefix="0" xfId="0"/>
    <xf numFmtId="0" fontId="2" fillId="11" borderId="12" pivotButton="0" quotePrefix="0" xfId="0"/>
    <xf numFmtId="0" fontId="2" fillId="11" borderId="9" pivotButton="0" quotePrefix="0" xfId="0"/>
    <xf numFmtId="0" fontId="2" fillId="11" borderId="5" applyAlignment="1" pivotButton="0" quotePrefix="0" xfId="0">
      <alignment horizontal="center"/>
    </xf>
    <xf numFmtId="0" fontId="2" fillId="11" borderId="13" applyAlignment="1" pivotButton="0" quotePrefix="0" xfId="0">
      <alignment horizontal="center"/>
    </xf>
    <xf numFmtId="0" fontId="4" fillId="0" borderId="0" pivotButton="0" quotePrefix="0" xfId="0"/>
    <xf numFmtId="0" fontId="4" fillId="0" borderId="5" applyAlignment="1" pivotButton="0" quotePrefix="0" xfId="0">
      <alignment horizontal="center"/>
    </xf>
    <xf numFmtId="0" fontId="4" fillId="13" borderId="5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5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center"/>
    </xf>
    <xf numFmtId="0" fontId="2" fillId="3" borderId="14" pivotButton="0" quotePrefix="0" xfId="0"/>
    <xf numFmtId="0" fontId="3" fillId="12" borderId="5" applyAlignment="1" pivotButton="0" quotePrefix="0" xfId="0">
      <alignment horizontal="center"/>
    </xf>
    <xf numFmtId="0" fontId="0" fillId="0" borderId="9" pivotButton="0" quotePrefix="0" xfId="0"/>
    <xf numFmtId="0" fontId="1" fillId="2" borderId="5" applyAlignment="1" pivotButton="0" quotePrefix="0" xfId="0">
      <alignment horizontal="center"/>
    </xf>
    <xf numFmtId="0" fontId="0" fillId="0" borderId="12" pivotButton="0" quotePrefix="0" xfId="0"/>
    <xf numFmtId="0" fontId="2" fillId="4" borderId="5" applyAlignment="1" pivotButton="0" quotePrefix="0" xfId="0">
      <alignment horizontal="center"/>
    </xf>
    <xf numFmtId="0" fontId="2" fillId="5" borderId="5" applyAlignment="1" pivotButton="0" quotePrefix="0" xfId="0">
      <alignment horizontal="center"/>
    </xf>
    <xf numFmtId="0" fontId="2" fillId="9" borderId="5" applyAlignment="1" pivotButton="0" quotePrefix="0" xfId="0">
      <alignment horizontal="center"/>
    </xf>
    <xf numFmtId="0" fontId="2" fillId="10" borderId="5" applyAlignment="1" pivotButton="0" quotePrefix="0" xfId="0">
      <alignment horizontal="center"/>
    </xf>
    <xf numFmtId="0" fontId="4" fillId="14" borderId="0" pivotButton="0" quotePrefix="0" xfId="0"/>
    <xf numFmtId="0" fontId="4" fillId="0" borderId="10" pivotButton="0" quotePrefix="0" xfId="0"/>
    <xf numFmtId="0" fontId="4" fillId="14" borderId="10" pivotButton="0" quotePrefix="0" xfId="0"/>
    <xf numFmtId="0" fontId="0" fillId="0" borderId="10" pivotButton="0" quotePrefix="0" xfId="0"/>
    <xf numFmtId="0" fontId="4" fillId="0" borderId="11" applyAlignment="1" pivotButton="0" quotePrefix="0" xfId="0">
      <alignment horizontal="center"/>
    </xf>
  </cellXfs>
  <cellStyles count="1">
    <cellStyle name="Normal" xfId="0" builtinId="0"/>
  </cellStyles>
  <dxfs count="11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F221"/>
  <sheetViews>
    <sheetView tabSelected="1" workbookViewId="0">
      <pane xSplit="3" ySplit="4" topLeftCell="D5" activePane="bottomRight" state="frozen"/>
      <selection pane="topRight" activeCell="C1" sqref="C1"/>
      <selection pane="bottomLeft" activeCell="A5" sqref="A5"/>
      <selection pane="bottomRight" activeCell="B23" sqref="B23"/>
    </sheetView>
  </sheetViews>
  <sheetFormatPr baseColWidth="10" defaultColWidth="12.6640625" defaultRowHeight="15" customHeight="1"/>
  <cols>
    <col width="12.1640625" customWidth="1" min="1" max="1"/>
    <col width="44.83203125" bestFit="1" customWidth="1" min="2" max="2"/>
    <col width="13.6640625" customWidth="1" min="3" max="3"/>
    <col width="19.1640625" customWidth="1" min="4" max="4"/>
    <col width="8.1640625" customWidth="1" min="5" max="5"/>
    <col width="4.33203125" customWidth="1" min="6" max="6"/>
    <col width="4.6640625" customWidth="1" min="7" max="13"/>
    <col width="9.5" customWidth="1" min="14" max="14"/>
    <col width="4.83203125" customWidth="1" min="15" max="20"/>
    <col width="9.5" customWidth="1" min="21" max="21"/>
    <col width="6.5" customWidth="1" min="22" max="22"/>
    <col width="11.6640625" customWidth="1" min="23" max="23"/>
  </cols>
  <sheetData>
    <row r="1" ht="19.5" customHeight="1">
      <c r="A1" s="1" t="n"/>
      <c r="B1" s="1" t="n"/>
      <c r="C1" s="1" t="n"/>
      <c r="D1" s="1" t="n"/>
      <c r="E1" s="1" t="n"/>
      <c r="F1" s="1" t="n"/>
      <c r="G1" s="32" t="inlineStr">
        <is>
          <t>Cursos e certificacoes</t>
        </is>
      </c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33" t="n"/>
      <c r="U1" s="31" t="n"/>
      <c r="V1" s="32" t="inlineStr">
        <is>
          <t>EM Delivery</t>
        </is>
      </c>
      <c r="W1" s="31" t="n"/>
      <c r="X1" s="32" t="inlineStr">
        <is>
          <t>Pre Sales Delivery</t>
        </is>
      </c>
      <c r="Y1" s="33" t="n"/>
      <c r="Z1" s="33" t="n"/>
      <c r="AA1" s="33" t="n"/>
      <c r="AB1" s="33" t="n"/>
      <c r="AC1" s="33" t="n"/>
      <c r="AD1" s="33" t="n"/>
      <c r="AE1" s="33" t="n"/>
      <c r="AF1" s="31" t="n"/>
    </row>
    <row r="2" ht="12.75" customHeight="1">
      <c r="A2" s="2" t="n"/>
      <c r="B2" s="29" t="n"/>
      <c r="C2" s="3" t="n"/>
      <c r="D2" s="3" t="n"/>
      <c r="E2" s="3" t="n"/>
      <c r="F2" s="4" t="n"/>
      <c r="G2" s="34" t="inlineStr">
        <is>
          <t>Introduction</t>
        </is>
      </c>
      <c r="H2" s="33" t="n"/>
      <c r="I2" s="33" t="n"/>
      <c r="J2" s="33" t="n"/>
      <c r="K2" s="33" t="n"/>
      <c r="L2" s="33" t="n"/>
      <c r="M2" s="33" t="n"/>
      <c r="N2" s="31" t="n"/>
      <c r="O2" s="35" t="inlineStr">
        <is>
          <t>Specialist</t>
        </is>
      </c>
      <c r="P2" s="33" t="n"/>
      <c r="Q2" s="33" t="n"/>
      <c r="R2" s="33" t="n"/>
      <c r="S2" s="33" t="n"/>
      <c r="T2" s="33" t="n"/>
      <c r="U2" s="31" t="n"/>
      <c r="V2" s="5" t="inlineStr">
        <is>
          <t xml:space="preserve">EM </t>
        </is>
      </c>
      <c r="W2" s="6" t="inlineStr">
        <is>
          <t xml:space="preserve">Analist </t>
        </is>
      </c>
      <c r="X2" s="7" t="inlineStr">
        <is>
          <t>Guardian</t>
        </is>
      </c>
      <c r="Y2" s="36" t="inlineStr">
        <is>
          <t>Demo</t>
        </is>
      </c>
      <c r="Z2" s="33" t="n"/>
      <c r="AA2" s="33" t="n"/>
      <c r="AB2" s="31" t="n"/>
      <c r="AC2" s="37" t="inlineStr">
        <is>
          <t>POV</t>
        </is>
      </c>
      <c r="AD2" s="33" t="n"/>
      <c r="AE2" s="33" t="n"/>
      <c r="AF2" s="31" t="n"/>
    </row>
    <row r="3" ht="12.75" customHeight="1">
      <c r="A3" s="8" t="inlineStr">
        <is>
          <t>ID Reseller</t>
        </is>
      </c>
      <c r="B3" s="9" t="inlineStr">
        <is>
          <t>Name (Reseller)</t>
        </is>
      </c>
      <c r="C3" s="9" t="inlineStr">
        <is>
          <t>Partner</t>
        </is>
      </c>
      <c r="D3" s="9" t="inlineStr">
        <is>
          <t>Primary Contact</t>
        </is>
      </c>
      <c r="E3" s="9" t="inlineStr">
        <is>
          <t>Status</t>
        </is>
      </c>
      <c r="F3" s="10" t="n"/>
      <c r="G3" s="11" t="inlineStr">
        <is>
          <t>ONE</t>
        </is>
      </c>
      <c r="H3" s="34" t="inlineStr">
        <is>
          <t>VM</t>
        </is>
      </c>
      <c r="I3" s="34" t="inlineStr">
        <is>
          <t>SC</t>
        </is>
      </c>
      <c r="J3" s="34" t="inlineStr">
        <is>
          <t>WAS</t>
        </is>
      </c>
      <c r="K3" s="34" t="inlineStr">
        <is>
          <t>IE</t>
        </is>
      </c>
      <c r="L3" s="34" t="inlineStr">
        <is>
          <t>OT</t>
        </is>
      </c>
      <c r="M3" s="34" t="inlineStr">
        <is>
          <t>CS</t>
        </is>
      </c>
      <c r="N3" s="34" t="inlineStr">
        <is>
          <t>Intro CERT</t>
        </is>
      </c>
      <c r="O3" s="35" t="inlineStr">
        <is>
          <t>ONE</t>
        </is>
      </c>
      <c r="P3" s="35" t="inlineStr">
        <is>
          <t>VM</t>
        </is>
      </c>
      <c r="Q3" s="35" t="inlineStr">
        <is>
          <t>SC</t>
        </is>
      </c>
      <c r="R3" s="35" t="inlineStr">
        <is>
          <t>IE</t>
        </is>
      </c>
      <c r="S3" s="35" t="inlineStr">
        <is>
          <t>OT</t>
        </is>
      </c>
      <c r="T3" s="35" t="inlineStr">
        <is>
          <t>CS</t>
        </is>
      </c>
      <c r="U3" s="35" t="inlineStr">
        <is>
          <t>SP CERT</t>
        </is>
      </c>
      <c r="V3" s="5" t="inlineStr">
        <is>
          <t>Theory</t>
        </is>
      </c>
      <c r="W3" s="6" t="inlineStr">
        <is>
          <t>Accreditation</t>
        </is>
      </c>
      <c r="X3" s="14" t="n"/>
      <c r="Y3" s="36" t="inlineStr">
        <is>
          <t>EM</t>
        </is>
      </c>
      <c r="Z3" s="36" t="inlineStr">
        <is>
          <t>VM/WAS</t>
        </is>
      </c>
      <c r="AA3" s="36" t="inlineStr">
        <is>
          <t>CS</t>
        </is>
      </c>
      <c r="AB3" s="36" t="inlineStr">
        <is>
          <t>TPM</t>
        </is>
      </c>
      <c r="AC3" s="37" t="inlineStr">
        <is>
          <t>EM</t>
        </is>
      </c>
      <c r="AD3" s="37" t="inlineStr">
        <is>
          <t>VM/WAS</t>
        </is>
      </c>
      <c r="AE3" s="37" t="inlineStr">
        <is>
          <t>CS</t>
        </is>
      </c>
      <c r="AF3" s="37" t="inlineStr">
        <is>
          <t>TPM</t>
        </is>
      </c>
    </row>
    <row r="4" ht="12.75" customHeight="1">
      <c r="A4" s="17" t="n"/>
      <c r="B4" s="18" t="n"/>
      <c r="C4" s="18" t="n"/>
      <c r="D4" s="18" t="n"/>
      <c r="E4" s="18" t="n"/>
      <c r="F4" s="19" t="n"/>
      <c r="G4" s="20" t="inlineStr">
        <is>
          <t>Req</t>
        </is>
      </c>
      <c r="H4" s="30" t="inlineStr">
        <is>
          <t>1 out of 2</t>
        </is>
      </c>
      <c r="I4" s="31" t="n"/>
      <c r="J4" s="20" t="inlineStr">
        <is>
          <t>Req</t>
        </is>
      </c>
      <c r="K4" s="20" t="inlineStr">
        <is>
          <t>Req</t>
        </is>
      </c>
      <c r="L4" s="20" t="inlineStr">
        <is>
          <t>Req</t>
        </is>
      </c>
      <c r="M4" s="20" t="inlineStr">
        <is>
          <t>Req</t>
        </is>
      </c>
      <c r="N4" s="20" t="inlineStr">
        <is>
          <t>Req</t>
        </is>
      </c>
      <c r="O4" s="20" t="inlineStr">
        <is>
          <t>Req</t>
        </is>
      </c>
      <c r="P4" s="30" t="inlineStr">
        <is>
          <t>1 out of 2</t>
        </is>
      </c>
      <c r="Q4" s="31" t="n"/>
      <c r="R4" s="30" t="inlineStr">
        <is>
          <t>2 out of 3</t>
        </is>
      </c>
      <c r="S4" s="33" t="n"/>
      <c r="T4" s="31" t="n"/>
      <c r="U4" s="20" t="inlineStr">
        <is>
          <t>Req</t>
        </is>
      </c>
      <c r="V4" s="20" t="inlineStr">
        <is>
          <t>Req</t>
        </is>
      </c>
      <c r="W4" s="20" t="inlineStr">
        <is>
          <t>Req</t>
        </is>
      </c>
      <c r="X4" s="20" t="inlineStr">
        <is>
          <t>Req</t>
        </is>
      </c>
      <c r="Y4" s="21" t="n"/>
      <c r="Z4" s="21" t="n"/>
      <c r="AA4" s="21" t="n"/>
      <c r="AB4" s="21" t="n"/>
      <c r="AC4" s="21" t="n"/>
      <c r="AD4" s="21" t="n"/>
      <c r="AE4" s="21" t="n"/>
      <c r="AF4" s="21" t="n"/>
    </row>
    <row r="5" ht="12.75" customHeight="1">
      <c r="A5" s="22" t="n">
        <v>581437</v>
      </c>
      <c r="B5" s="22" t="inlineStr">
        <is>
          <t>SHIELD SECURITY TECNOLOGIA</t>
        </is>
      </c>
      <c r="C5" s="38" t="inlineStr">
        <is>
          <t>Shield</t>
        </is>
      </c>
      <c r="D5" s="22" t="inlineStr">
        <is>
          <t>Gabriel Tavares</t>
        </is>
      </c>
      <c r="E5" s="22" t="inlineStr">
        <is>
          <t>Gold</t>
        </is>
      </c>
      <c r="G5" s="23" t="inlineStr">
        <is>
          <t>OK</t>
        </is>
      </c>
      <c r="H5" s="23" t="inlineStr">
        <is>
          <t>OK</t>
        </is>
      </c>
      <c r="I5" s="23" t="inlineStr">
        <is>
          <t>OK</t>
        </is>
      </c>
      <c r="J5" s="23" t="n"/>
      <c r="K5" s="23" t="inlineStr">
        <is>
          <t>OK</t>
        </is>
      </c>
      <c r="L5" s="23" t="inlineStr">
        <is>
          <t>OK</t>
        </is>
      </c>
      <c r="M5" s="23" t="inlineStr">
        <is>
          <t>OK</t>
        </is>
      </c>
      <c r="N5" s="23" t="inlineStr">
        <is>
          <t>Accredited</t>
        </is>
      </c>
      <c r="O5" s="23" t="n"/>
      <c r="P5" s="23" t="inlineStr">
        <is>
          <t>OK</t>
        </is>
      </c>
      <c r="Q5" s="23" t="n"/>
      <c r="R5" s="23" t="n"/>
      <c r="S5" s="23" t="inlineStr">
        <is>
          <t>OK</t>
        </is>
      </c>
      <c r="T5" s="23" t="inlineStr">
        <is>
          <t>OK</t>
        </is>
      </c>
      <c r="U5" s="23">
        <f>IF(AND(O5&lt;&gt;"", OR(P5&lt;&gt;"", Q5&lt;&gt;""), OR(AND(R5&lt;&gt;"", S5&lt;&gt;""), AND(S5&lt;&gt;"", T5&lt;&gt;""), AND(R5&lt;&gt;"", T5&lt;&gt;""))), "Accredited", "In Progress")</f>
        <v/>
      </c>
      <c r="V5" s="24" t="inlineStr">
        <is>
          <t>OK</t>
        </is>
      </c>
      <c r="W5" s="23">
        <f>IF(AND(N5="Accredited", U5="Accredited",V5&lt;&gt;""), "Accredited", "In Progress")</f>
        <v/>
      </c>
      <c r="X5" s="25" t="n"/>
      <c r="Y5" s="23" t="inlineStr">
        <is>
          <t>medium</t>
        </is>
      </c>
      <c r="Z5" s="23" t="inlineStr">
        <is>
          <t>high</t>
        </is>
      </c>
      <c r="AA5" s="23" t="inlineStr">
        <is>
          <t>high</t>
        </is>
      </c>
      <c r="AB5" s="23" t="inlineStr">
        <is>
          <t>medium</t>
        </is>
      </c>
      <c r="AC5" s="23" t="inlineStr">
        <is>
          <t>medium</t>
        </is>
      </c>
      <c r="AD5" s="23" t="inlineStr">
        <is>
          <t>high</t>
        </is>
      </c>
      <c r="AE5" s="23" t="inlineStr">
        <is>
          <t>medium</t>
        </is>
      </c>
      <c r="AF5" s="23" t="inlineStr">
        <is>
          <t>low</t>
        </is>
      </c>
    </row>
    <row r="6" ht="12.75" customHeight="1">
      <c r="A6" s="22" t="n">
        <v>390733</v>
      </c>
      <c r="B6" s="22" t="inlineStr">
        <is>
          <t>TDec Redes de Computadores Ltda</t>
        </is>
      </c>
      <c r="C6" s="38" t="inlineStr">
        <is>
          <t>TDEC</t>
        </is>
      </c>
      <c r="D6" s="22" t="inlineStr">
        <is>
          <t>Omar Cavalcante</t>
        </is>
      </c>
      <c r="E6" s="22" t="inlineStr">
        <is>
          <t>Gold</t>
        </is>
      </c>
      <c r="G6" s="23" t="n"/>
      <c r="H6" s="23" t="n"/>
      <c r="I6" s="23" t="inlineStr">
        <is>
          <t>OK</t>
        </is>
      </c>
      <c r="J6" s="23" t="n"/>
      <c r="K6" s="23" t="n"/>
      <c r="L6" s="23" t="inlineStr">
        <is>
          <t>OK</t>
        </is>
      </c>
      <c r="M6" s="23" t="n"/>
      <c r="N6" s="23">
        <f>IF(AND(G6&lt;&gt;"", OR(H6&lt;&gt;"", I6&lt;&gt;""), J6&lt;&gt;"", K6&lt;&gt;"", L6&lt;&gt;"", M6&lt;&gt;""), "Accredited", "In Progress")</f>
        <v/>
      </c>
      <c r="O6" s="23" t="n"/>
      <c r="P6" s="23" t="inlineStr">
        <is>
          <t>OK</t>
        </is>
      </c>
      <c r="Q6" s="23" t="n"/>
      <c r="R6" s="23" t="n"/>
      <c r="S6" s="23" t="n"/>
      <c r="T6" s="23" t="inlineStr">
        <is>
          <t>OK</t>
        </is>
      </c>
      <c r="U6" s="23">
        <f>IF(AND(O6&lt;&gt;"", OR(P6&lt;&gt;"", Q6&lt;&gt;""), OR(AND(R6&lt;&gt;"", S6&lt;&gt;""), AND(S6&lt;&gt;"", T6&lt;&gt;""), AND(R6&lt;&gt;"", T6&lt;&gt;""))), "Accredited", "In Progress")</f>
        <v/>
      </c>
      <c r="V6" s="26" t="n"/>
      <c r="W6" s="23">
        <f>IF(AND(N6="Accredited", U6="Accredited",V6&lt;&gt;""), "Accredited", "In Progress")</f>
        <v/>
      </c>
      <c r="X6" s="25" t="inlineStr">
        <is>
          <t>Omar</t>
        </is>
      </c>
      <c r="Y6" s="23" t="inlineStr">
        <is>
          <t>high</t>
        </is>
      </c>
      <c r="Z6" s="23" t="inlineStr">
        <is>
          <t>high</t>
        </is>
      </c>
      <c r="AA6" s="23" t="inlineStr">
        <is>
          <t>high</t>
        </is>
      </c>
      <c r="AB6" s="23" t="inlineStr">
        <is>
          <t>medium</t>
        </is>
      </c>
      <c r="AC6" s="23" t="inlineStr">
        <is>
          <t>high</t>
        </is>
      </c>
      <c r="AD6" s="23" t="inlineStr">
        <is>
          <t>high</t>
        </is>
      </c>
      <c r="AE6" s="23" t="inlineStr">
        <is>
          <t>medium</t>
        </is>
      </c>
      <c r="AF6" s="23" t="inlineStr">
        <is>
          <t>low</t>
        </is>
      </c>
    </row>
    <row r="7" ht="12.75" customHeight="1">
      <c r="A7" s="22" t="n">
        <v>739732</v>
      </c>
      <c r="B7" s="22" t="inlineStr">
        <is>
          <t>ASPER TECNOLOGIA – RIO DE JANEIRO LTDA</t>
        </is>
      </c>
      <c r="C7" s="38" t="inlineStr">
        <is>
          <t>Asper</t>
        </is>
      </c>
      <c r="D7" s="22" t="inlineStr">
        <is>
          <t>Josiane</t>
        </is>
      </c>
      <c r="E7" s="22" t="inlineStr">
        <is>
          <t>Silver</t>
        </is>
      </c>
      <c r="G7" s="23" t="inlineStr">
        <is>
          <t>OK</t>
        </is>
      </c>
      <c r="H7" s="23" t="inlineStr">
        <is>
          <t>OK</t>
        </is>
      </c>
      <c r="I7" s="23" t="inlineStr">
        <is>
          <t>OK</t>
        </is>
      </c>
      <c r="J7" s="23" t="n"/>
      <c r="K7" s="23" t="n"/>
      <c r="L7" s="23" t="inlineStr">
        <is>
          <t>OK</t>
        </is>
      </c>
      <c r="M7" s="23" t="n"/>
      <c r="N7" s="23">
        <f>IF(AND(G7&lt;&gt;"", OR(H7&lt;&gt;"", I7&lt;&gt;""), J7&lt;&gt;"", K7&lt;&gt;"", L7&lt;&gt;"", M7&lt;&gt;""), "Accredited", "In Progress")</f>
        <v/>
      </c>
      <c r="O7" s="23" t="n"/>
      <c r="P7" s="23" t="inlineStr">
        <is>
          <t>OK</t>
        </is>
      </c>
      <c r="Q7" s="23" t="n"/>
      <c r="R7" s="23" t="n"/>
      <c r="S7" s="23" t="n"/>
      <c r="T7" s="23" t="n"/>
      <c r="U7" s="23">
        <f>IF(AND(O7&lt;&gt;"", OR(P7&lt;&gt;"", Q7&lt;&gt;""), OR(AND(R7&lt;&gt;"", S7&lt;&gt;""), AND(S7&lt;&gt;"", T7&lt;&gt;""), AND(R7&lt;&gt;"", T7&lt;&gt;""))), "Accredited", "In Progress")</f>
        <v/>
      </c>
      <c r="V7" s="26" t="n"/>
      <c r="W7" s="23">
        <f>IF(AND(N7="Accredited", U7="Accredited",V7&lt;&gt;""), "Accredited", "In Progress")</f>
        <v/>
      </c>
      <c r="X7" s="25" t="n"/>
      <c r="Y7" s="23" t="inlineStr">
        <is>
          <t>medium</t>
        </is>
      </c>
      <c r="Z7" s="23" t="inlineStr">
        <is>
          <t>high</t>
        </is>
      </c>
      <c r="AA7" s="23" t="inlineStr">
        <is>
          <t>high</t>
        </is>
      </c>
      <c r="AB7" s="23" t="inlineStr">
        <is>
          <t>high</t>
        </is>
      </c>
      <c r="AC7" s="23" t="inlineStr">
        <is>
          <t>medium</t>
        </is>
      </c>
      <c r="AD7" s="23" t="inlineStr">
        <is>
          <t>high</t>
        </is>
      </c>
      <c r="AE7" s="23" t="inlineStr">
        <is>
          <t>medium</t>
        </is>
      </c>
      <c r="AF7" s="23" t="inlineStr">
        <is>
          <t>low</t>
        </is>
      </c>
    </row>
    <row r="8" ht="12.75" customHeight="1">
      <c r="A8" s="22" t="n">
        <v>579399</v>
      </c>
      <c r="B8" s="22" t="inlineStr">
        <is>
          <t>XSite</t>
        </is>
      </c>
      <c r="C8" s="38" t="inlineStr">
        <is>
          <t>XSITE</t>
        </is>
      </c>
      <c r="D8" s="22" t="inlineStr">
        <is>
          <t>Alexos</t>
        </is>
      </c>
      <c r="E8" s="22" t="inlineStr">
        <is>
          <t>Gold</t>
        </is>
      </c>
      <c r="G8" s="23" t="n"/>
      <c r="H8" s="23" t="inlineStr">
        <is>
          <t>OK</t>
        </is>
      </c>
      <c r="I8" s="23" t="inlineStr">
        <is>
          <t>OK</t>
        </is>
      </c>
      <c r="J8" s="23" t="n"/>
      <c r="K8" s="23" t="inlineStr">
        <is>
          <t>OK</t>
        </is>
      </c>
      <c r="L8" s="23" t="inlineStr">
        <is>
          <t>OK</t>
        </is>
      </c>
      <c r="M8" s="23" t="inlineStr">
        <is>
          <t>OK</t>
        </is>
      </c>
      <c r="N8" s="23">
        <f>IF(AND(G8&lt;&gt;"", OR(H8&lt;&gt;"", I8&lt;&gt;""), J8&lt;&gt;"", K8&lt;&gt;"", L8&lt;&gt;"", M8&lt;&gt;""), "Accredited", "In Progress")</f>
        <v/>
      </c>
      <c r="O8" s="23" t="n"/>
      <c r="P8" s="23" t="inlineStr">
        <is>
          <t>OK</t>
        </is>
      </c>
      <c r="Q8" s="23" t="n"/>
      <c r="R8" s="23" t="n"/>
      <c r="S8" s="23" t="n"/>
      <c r="T8" s="23" t="inlineStr">
        <is>
          <t>OK</t>
        </is>
      </c>
      <c r="U8" s="23">
        <f>IF(AND(O8&lt;&gt;"", OR(P8&lt;&gt;"", Q8&lt;&gt;""), OR(AND(R8&lt;&gt;"", S8&lt;&gt;""), AND(S8&lt;&gt;"", T8&lt;&gt;""), AND(R8&lt;&gt;"", T8&lt;&gt;""))), "Accredited", "In Progress")</f>
        <v/>
      </c>
      <c r="V8" s="26" t="inlineStr">
        <is>
          <t>OK</t>
        </is>
      </c>
      <c r="W8" s="23">
        <f>IF(AND(N8="Accredited", U8="Accredited",V8&lt;&gt;""), "Accredited", "In Progress")</f>
        <v/>
      </c>
      <c r="X8" s="25" t="inlineStr">
        <is>
          <t>Deraldo/Yueslly</t>
        </is>
      </c>
      <c r="Y8" s="23" t="inlineStr">
        <is>
          <t>medium</t>
        </is>
      </c>
      <c r="Z8" s="23" t="inlineStr">
        <is>
          <t>high</t>
        </is>
      </c>
      <c r="AA8" s="23" t="inlineStr">
        <is>
          <t>high</t>
        </is>
      </c>
      <c r="AB8" s="23" t="inlineStr">
        <is>
          <t>medium</t>
        </is>
      </c>
      <c r="AC8" s="23" t="inlineStr">
        <is>
          <t>medium</t>
        </is>
      </c>
      <c r="AD8" s="23" t="inlineStr">
        <is>
          <t>high</t>
        </is>
      </c>
      <c r="AE8" s="23" t="inlineStr">
        <is>
          <t>high</t>
        </is>
      </c>
      <c r="AF8" s="23" t="inlineStr">
        <is>
          <t>medium</t>
        </is>
      </c>
    </row>
    <row r="9" ht="12.75" customHeight="1">
      <c r="A9" s="22" t="n">
        <v>397166</v>
      </c>
      <c r="B9" s="22" t="inlineStr">
        <is>
          <t>ISH Tecnologia SA</t>
        </is>
      </c>
      <c r="C9" s="38" t="inlineStr">
        <is>
          <t>ISH</t>
        </is>
      </c>
      <c r="D9" s="22" t="inlineStr">
        <is>
          <t>Nelson Coimbra</t>
        </is>
      </c>
      <c r="E9" s="22" t="inlineStr">
        <is>
          <t>Platinum</t>
        </is>
      </c>
      <c r="G9" s="23" t="inlineStr">
        <is>
          <t>OK</t>
        </is>
      </c>
      <c r="H9" s="23" t="inlineStr">
        <is>
          <t>OK</t>
        </is>
      </c>
      <c r="I9" s="23" t="inlineStr">
        <is>
          <t>OK</t>
        </is>
      </c>
      <c r="J9" s="23" t="n"/>
      <c r="K9" s="23" t="inlineStr">
        <is>
          <t>OK</t>
        </is>
      </c>
      <c r="L9" s="23" t="inlineStr">
        <is>
          <t>OK</t>
        </is>
      </c>
      <c r="M9" s="23" t="inlineStr">
        <is>
          <t>OK</t>
        </is>
      </c>
      <c r="N9" s="23">
        <f>IF(AND(G9&lt;&gt;"", OR(H9&lt;&gt;"", I9&lt;&gt;""), J9&lt;&gt;"", K9&lt;&gt;"", L9&lt;&gt;"", M9&lt;&gt;""), "Accredited", "In Progress")</f>
        <v/>
      </c>
      <c r="O9" s="23" t="n"/>
      <c r="P9" s="23" t="inlineStr">
        <is>
          <t>OK</t>
        </is>
      </c>
      <c r="Q9" s="23" t="n"/>
      <c r="R9" s="23" t="n"/>
      <c r="S9" s="23" t="n"/>
      <c r="T9" s="23" t="inlineStr">
        <is>
          <t>OK</t>
        </is>
      </c>
      <c r="U9" s="23">
        <f>IF(AND(O9&lt;&gt;"", OR(P9&lt;&gt;"", Q9&lt;&gt;""), OR(AND(R9&lt;&gt;"", S9&lt;&gt;""), AND(S9&lt;&gt;"", T9&lt;&gt;""), AND(R9&lt;&gt;"", T9&lt;&gt;""))), "Accredited", "In Progress")</f>
        <v/>
      </c>
      <c r="V9" s="24" t="inlineStr">
        <is>
          <t>OK</t>
        </is>
      </c>
      <c r="W9" s="23">
        <f>IF(AND(N9="Accredited", U9="Accredited",V9&lt;&gt;""), "Accredited", "In Progress")</f>
        <v/>
      </c>
      <c r="X9" s="25" t="inlineStr">
        <is>
          <t>Thiago</t>
        </is>
      </c>
      <c r="Y9" s="23" t="inlineStr">
        <is>
          <t>medium</t>
        </is>
      </c>
      <c r="Z9" s="23" t="inlineStr">
        <is>
          <t>high</t>
        </is>
      </c>
      <c r="AA9" s="23" t="inlineStr">
        <is>
          <t>high</t>
        </is>
      </c>
      <c r="AB9" s="23" t="inlineStr">
        <is>
          <t>medium</t>
        </is>
      </c>
      <c r="AC9" s="23" t="inlineStr">
        <is>
          <t>medium</t>
        </is>
      </c>
      <c r="AD9" s="23" t="inlineStr">
        <is>
          <t>high</t>
        </is>
      </c>
      <c r="AE9" s="23" t="inlineStr">
        <is>
          <t>high</t>
        </is>
      </c>
      <c r="AF9" s="23" t="inlineStr">
        <is>
          <t>medium</t>
        </is>
      </c>
    </row>
    <row r="10" ht="12.75" customHeight="1">
      <c r="A10" s="22" t="n">
        <v>993857</v>
      </c>
      <c r="B10" s="22" t="inlineStr">
        <is>
          <t>GLOBAL SEC. TECNOLOGIA &amp; INFORMACAO EIRELI</t>
        </is>
      </c>
      <c r="C10" s="38" t="inlineStr">
        <is>
          <t>GlobaslSec</t>
        </is>
      </c>
      <c r="D10" s="22" t="inlineStr">
        <is>
          <t>Lucas</t>
        </is>
      </c>
      <c r="E10" s="22" t="inlineStr">
        <is>
          <t>Platinum</t>
        </is>
      </c>
      <c r="G10" s="23" t="n"/>
      <c r="H10" s="23" t="n"/>
      <c r="I10" s="23" t="n"/>
      <c r="J10" s="23" t="n"/>
      <c r="K10" s="23" t="n"/>
      <c r="L10" s="23" t="inlineStr">
        <is>
          <t>OK</t>
        </is>
      </c>
      <c r="M10" s="23" t="n"/>
      <c r="N10" s="23">
        <f>IF(AND(G10&lt;&gt;"", OR(H10&lt;&gt;"", I10&lt;&gt;""), J10&lt;&gt;"", K10&lt;&gt;"", L10&lt;&gt;"", M10&lt;&gt;""), "Accredited", "In Progress")</f>
        <v/>
      </c>
      <c r="O10" s="23" t="n"/>
      <c r="P10" s="23" t="n"/>
      <c r="Q10" s="23" t="n"/>
      <c r="R10" s="23" t="n"/>
      <c r="S10" s="23" t="n"/>
      <c r="T10" s="23" t="n"/>
      <c r="U10" s="23">
        <f>IF(AND(O10&lt;&gt;"", OR(P10&lt;&gt;"", Q10&lt;&gt;""), OR(AND(R10&lt;&gt;"", S10&lt;&gt;""), AND(S10&lt;&gt;"", T10&lt;&gt;""), AND(R10&lt;&gt;"", T10&lt;&gt;""))), "Accredited", "In Progress")</f>
        <v/>
      </c>
      <c r="V10" s="26" t="n"/>
      <c r="W10" s="23">
        <f>IF(AND(N10="Accredited", U10="Accredited",V10&lt;&gt;""), "Accredited", "In Progress")</f>
        <v/>
      </c>
      <c r="X10" s="25" t="n"/>
      <c r="Y10" s="23" t="n"/>
      <c r="Z10" s="23" t="n"/>
      <c r="AA10" s="23" t="n"/>
      <c r="AB10" s="23" t="n"/>
      <c r="AC10" s="23" t="n"/>
      <c r="AD10" s="23" t="n"/>
      <c r="AE10" s="23" t="n"/>
      <c r="AF10" s="23" t="n"/>
    </row>
    <row r="11" ht="12.75" customHeight="1">
      <c r="A11" s="22" t="n">
        <v>510201</v>
      </c>
      <c r="B11" s="22" t="inlineStr">
        <is>
          <t>Netsecurity Tecnologia LTDA</t>
        </is>
      </c>
      <c r="C11" s="38" t="inlineStr">
        <is>
          <t>NetSecurity</t>
        </is>
      </c>
      <c r="D11" s="22" t="inlineStr">
        <is>
          <t>Fernando/Denise</t>
        </is>
      </c>
      <c r="E11" s="22" t="inlineStr">
        <is>
          <t>Gold</t>
        </is>
      </c>
      <c r="G11" s="23" t="inlineStr">
        <is>
          <t>OK</t>
        </is>
      </c>
      <c r="H11" s="23" t="inlineStr">
        <is>
          <t>OK</t>
        </is>
      </c>
      <c r="I11" s="23" t="inlineStr">
        <is>
          <t>OK</t>
        </is>
      </c>
      <c r="J11" s="23" t="n"/>
      <c r="K11" s="23" t="inlineStr">
        <is>
          <t>OK</t>
        </is>
      </c>
      <c r="L11" s="23" t="inlineStr">
        <is>
          <t>OK</t>
        </is>
      </c>
      <c r="M11" s="23" t="inlineStr">
        <is>
          <t>OK</t>
        </is>
      </c>
      <c r="N11" s="23">
        <f>IF(AND(G11&lt;&gt;"", OR(H11&lt;&gt;"", I11&lt;&gt;""), J11&lt;&gt;"", K11&lt;&gt;"", L11&lt;&gt;"", M11&lt;&gt;""), "Accredited", "In Progress")</f>
        <v/>
      </c>
      <c r="O11" s="23" t="n"/>
      <c r="P11" s="23" t="inlineStr">
        <is>
          <t>OK</t>
        </is>
      </c>
      <c r="Q11" s="23" t="n"/>
      <c r="R11" s="23" t="n"/>
      <c r="S11" s="23" t="n"/>
      <c r="T11" s="23" t="n"/>
      <c r="U11" s="23">
        <f>IF(AND(O11&lt;&gt;"", OR(P11&lt;&gt;"", Q11&lt;&gt;""), OR(AND(R11&lt;&gt;"", S11&lt;&gt;""), AND(S11&lt;&gt;"", T11&lt;&gt;""), AND(R11&lt;&gt;"", T11&lt;&gt;""))), "Accredited", "In Progress")</f>
        <v/>
      </c>
      <c r="V11" s="26" t="inlineStr">
        <is>
          <t>OK</t>
        </is>
      </c>
      <c r="W11" s="23">
        <f>IF(AND(N11="Accredited", U11="Accredited",V11&lt;&gt;""), "Accredited", "In Progress")</f>
        <v/>
      </c>
      <c r="X11" s="25" t="n"/>
      <c r="Y11" s="23" t="inlineStr">
        <is>
          <t>high</t>
        </is>
      </c>
      <c r="Z11" s="23" t="inlineStr">
        <is>
          <t>high</t>
        </is>
      </c>
      <c r="AA11" s="23" t="inlineStr">
        <is>
          <t>medium</t>
        </is>
      </c>
      <c r="AB11" s="23" t="inlineStr">
        <is>
          <t>medium</t>
        </is>
      </c>
      <c r="AC11" s="23" t="inlineStr">
        <is>
          <t>low</t>
        </is>
      </c>
      <c r="AD11" s="23" t="inlineStr">
        <is>
          <t>high</t>
        </is>
      </c>
      <c r="AE11" s="23" t="inlineStr">
        <is>
          <t>low</t>
        </is>
      </c>
      <c r="AF11" s="23" t="inlineStr">
        <is>
          <t>medium</t>
        </is>
      </c>
    </row>
    <row r="12" ht="12.75" customHeight="1">
      <c r="A12" s="22" t="n">
        <v>458265</v>
      </c>
      <c r="B12" s="22" t="inlineStr">
        <is>
          <t>Future Technologies Informatica Ltda</t>
        </is>
      </c>
      <c r="C12" s="38" t="inlineStr">
        <is>
          <t>Future</t>
        </is>
      </c>
      <c r="D12" s="22" t="inlineStr">
        <is>
          <t>Matheus</t>
        </is>
      </c>
      <c r="E12" s="22" t="inlineStr">
        <is>
          <t>Silver</t>
        </is>
      </c>
      <c r="G12" s="23" t="n"/>
      <c r="H12" s="23" t="inlineStr">
        <is>
          <t>OK</t>
        </is>
      </c>
      <c r="I12" s="23" t="inlineStr">
        <is>
          <t>OK</t>
        </is>
      </c>
      <c r="J12" s="23" t="n"/>
      <c r="K12" s="23" t="n"/>
      <c r="L12" s="23" t="inlineStr">
        <is>
          <t>OK</t>
        </is>
      </c>
      <c r="M12" s="23" t="n"/>
      <c r="N12" s="23">
        <f>IF(AND(G12&lt;&gt;"", OR(H12&lt;&gt;"", I12&lt;&gt;""), J12&lt;&gt;"", K12&lt;&gt;"", L12&lt;&gt;"", M12&lt;&gt;""), "Accredited", "In Progress")</f>
        <v/>
      </c>
      <c r="O12" s="23" t="n"/>
      <c r="P12" s="23" t="inlineStr">
        <is>
          <t>OK</t>
        </is>
      </c>
      <c r="Q12" s="23" t="n"/>
      <c r="R12" s="23" t="n"/>
      <c r="S12" s="23" t="n"/>
      <c r="T12" s="23" t="n"/>
      <c r="U12" s="23">
        <f>IF(AND(O12&lt;&gt;"", OR(P12&lt;&gt;"", Q12&lt;&gt;""), OR(AND(R12&lt;&gt;"", S12&lt;&gt;""), AND(S12&lt;&gt;"", T12&lt;&gt;""), AND(R12&lt;&gt;"", T12&lt;&gt;""))), "Accredited", "In Progress")</f>
        <v/>
      </c>
      <c r="V12" s="26" t="n"/>
      <c r="W12" s="23">
        <f>IF(AND(N12="Accredited", U12="Accredited",V12&lt;&gt;""), "Accredited", "In Progress")</f>
        <v/>
      </c>
      <c r="X12" s="25" t="n"/>
      <c r="Y12" s="23" t="n"/>
      <c r="Z12" s="23" t="n"/>
      <c r="AA12" s="23" t="n"/>
      <c r="AB12" s="23" t="n"/>
      <c r="AC12" s="23" t="n"/>
      <c r="AD12" s="23" t="n"/>
      <c r="AE12" s="23" t="n"/>
      <c r="AF12" s="23" t="n"/>
    </row>
    <row r="13" ht="12.75" customHeight="1">
      <c r="A13" s="22" t="n">
        <v>119472</v>
      </c>
      <c r="B13" s="22" t="inlineStr">
        <is>
          <t>ACCENTURE DO BRASIL LTDA</t>
        </is>
      </c>
      <c r="C13" s="38" t="inlineStr">
        <is>
          <t>Accenture</t>
        </is>
      </c>
      <c r="D13" s="22" t="inlineStr">
        <is>
          <t>Lucas Teixeira</t>
        </is>
      </c>
      <c r="E13" s="22" t="inlineStr">
        <is>
          <t>Gold</t>
        </is>
      </c>
      <c r="G13" s="23" t="n"/>
      <c r="H13" s="23" t="inlineStr">
        <is>
          <t>OK</t>
        </is>
      </c>
      <c r="I13" s="23" t="n"/>
      <c r="J13" s="23" t="n"/>
      <c r="K13" s="23" t="n"/>
      <c r="L13" s="23" t="inlineStr">
        <is>
          <t>OK</t>
        </is>
      </c>
      <c r="M13" s="23" t="inlineStr">
        <is>
          <t>OK</t>
        </is>
      </c>
      <c r="N13" s="23">
        <f>IF(AND(G13&lt;&gt;"", OR(H13&lt;&gt;"", I13&lt;&gt;""), J13&lt;&gt;"", K13&lt;&gt;"", L13&lt;&gt;"", M13&lt;&gt;""), "Accredited", "In Progress")</f>
        <v/>
      </c>
      <c r="O13" s="23" t="n"/>
      <c r="P13" s="23" t="inlineStr">
        <is>
          <t>OK</t>
        </is>
      </c>
      <c r="Q13" s="23" t="n"/>
      <c r="R13" s="23" t="n"/>
      <c r="S13" s="23" t="n"/>
      <c r="T13" s="23" t="n"/>
      <c r="U13" s="23">
        <f>IF(AND(O13&lt;&gt;"", OR(P13&lt;&gt;"", Q13&lt;&gt;""), OR(AND(R13&lt;&gt;"", S13&lt;&gt;""), AND(S13&lt;&gt;"", T13&lt;&gt;""), AND(R13&lt;&gt;"", T13&lt;&gt;""))), "Accredited", "In Progress")</f>
        <v/>
      </c>
      <c r="V13" s="26" t="inlineStr">
        <is>
          <t>OK</t>
        </is>
      </c>
      <c r="W13" s="23">
        <f>IF(AND(N13="Accredited", U13="Accredited",V13&lt;&gt;""), "Accredited", "In Progress")</f>
        <v/>
      </c>
      <c r="X13" s="25" t="n"/>
      <c r="Y13" s="23" t="n"/>
      <c r="Z13" s="23" t="n"/>
      <c r="AA13" s="23" t="n"/>
      <c r="AB13" s="23" t="n"/>
      <c r="AC13" s="23" t="n"/>
      <c r="AD13" s="23" t="n"/>
      <c r="AE13" s="23" t="n"/>
      <c r="AF13" s="23" t="n"/>
    </row>
    <row r="14" ht="12.75" customHeight="1">
      <c r="A14" s="22" t="n">
        <v>106294</v>
      </c>
      <c r="B14" s="22" t="inlineStr">
        <is>
          <t>Under Protection Consultoria em Informatica LTDA</t>
        </is>
      </c>
      <c r="C14" s="38" t="inlineStr">
        <is>
          <t>Under Protection</t>
        </is>
      </c>
      <c r="D14" s="22" t="inlineStr">
        <is>
          <t>Wagner</t>
        </is>
      </c>
      <c r="E14" s="22" t="inlineStr">
        <is>
          <t>Gold</t>
        </is>
      </c>
      <c r="G14" s="23" t="inlineStr">
        <is>
          <t>OK</t>
        </is>
      </c>
      <c r="H14" s="23" t="inlineStr">
        <is>
          <t>OK</t>
        </is>
      </c>
      <c r="I14" s="23" t="inlineStr">
        <is>
          <t>OK</t>
        </is>
      </c>
      <c r="J14" s="23" t="n"/>
      <c r="K14" s="23" t="inlineStr">
        <is>
          <t>OK</t>
        </is>
      </c>
      <c r="L14" s="23" t="inlineStr">
        <is>
          <t>OK</t>
        </is>
      </c>
      <c r="M14" s="23" t="inlineStr">
        <is>
          <t>OK</t>
        </is>
      </c>
      <c r="N14" s="23" t="inlineStr">
        <is>
          <t>Accredited</t>
        </is>
      </c>
      <c r="O14" s="23" t="n"/>
      <c r="P14" s="23" t="n"/>
      <c r="Q14" s="23" t="n"/>
      <c r="R14" s="23" t="n"/>
      <c r="S14" s="23" t="n"/>
      <c r="T14" s="23" t="n"/>
      <c r="U14" s="23">
        <f>IF(AND(O14&lt;&gt;"", OR(P14&lt;&gt;"", Q14&lt;&gt;""), OR(AND(R14&lt;&gt;"", S14&lt;&gt;""), AND(S14&lt;&gt;"", T14&lt;&gt;""), AND(R14&lt;&gt;"", T14&lt;&gt;""))), "Accredited", "In Progress")</f>
        <v/>
      </c>
      <c r="V14" s="24" t="inlineStr">
        <is>
          <t>OK</t>
        </is>
      </c>
      <c r="W14" s="23">
        <f>IF(AND(N14="Accredited", U14="Accredited",V14&lt;&gt;""), "Accredited", "In Progress")</f>
        <v/>
      </c>
      <c r="X14" s="25" t="n"/>
      <c r="Y14" s="23" t="inlineStr">
        <is>
          <t>medium</t>
        </is>
      </c>
      <c r="Z14" s="23" t="inlineStr">
        <is>
          <t>high</t>
        </is>
      </c>
      <c r="AA14" s="23" t="inlineStr">
        <is>
          <t>high</t>
        </is>
      </c>
      <c r="AB14" s="23" t="inlineStr">
        <is>
          <t>high</t>
        </is>
      </c>
      <c r="AC14" s="23" t="inlineStr">
        <is>
          <t>medium</t>
        </is>
      </c>
      <c r="AD14" s="23" t="inlineStr">
        <is>
          <t>high</t>
        </is>
      </c>
      <c r="AE14" s="23" t="inlineStr">
        <is>
          <t>high</t>
        </is>
      </c>
      <c r="AF14" s="23" t="inlineStr">
        <is>
          <t>high</t>
        </is>
      </c>
    </row>
    <row r="15" ht="12.75" customHeight="1">
      <c r="A15" s="22" t="n">
        <v>543439</v>
      </c>
      <c r="B15" s="22" t="inlineStr">
        <is>
          <t>Kryptus Seguranca da Informacao SA</t>
        </is>
      </c>
      <c r="C15" s="22" t="inlineStr">
        <is>
          <t>Kryptus</t>
        </is>
      </c>
      <c r="D15" s="22" t="inlineStr">
        <is>
          <t>Jean Bertolino</t>
        </is>
      </c>
      <c r="E15" s="22" t="inlineStr">
        <is>
          <t>Bronze</t>
        </is>
      </c>
      <c r="G15" s="23" t="n"/>
      <c r="H15" s="23" t="inlineStr">
        <is>
          <t>OK</t>
        </is>
      </c>
      <c r="I15" s="23" t="n"/>
      <c r="J15" s="23" t="n"/>
      <c r="K15" s="23" t="n"/>
      <c r="L15" s="23" t="n"/>
      <c r="M15" s="23" t="inlineStr">
        <is>
          <t>OK</t>
        </is>
      </c>
      <c r="N15" s="23">
        <f>IF(AND(G15&lt;&gt;"", OR(H15&lt;&gt;"", I15&lt;&gt;""), J15&lt;&gt;"", K15&lt;&gt;"", L15&lt;&gt;"", M15&lt;&gt;""), "Accredited", "In Progress")</f>
        <v/>
      </c>
      <c r="O15" s="23" t="n"/>
      <c r="P15" s="23" t="inlineStr">
        <is>
          <t>OK</t>
        </is>
      </c>
      <c r="Q15" s="23" t="n"/>
      <c r="R15" s="23" t="n"/>
      <c r="S15" s="23" t="n"/>
      <c r="T15" s="23" t="n"/>
      <c r="U15" s="23">
        <f>IF(AND(O15&lt;&gt;"", OR(P15&lt;&gt;"", Q15&lt;&gt;""), OR(AND(R15&lt;&gt;"", S15&lt;&gt;""), AND(S15&lt;&gt;"", T15&lt;&gt;""), AND(R15&lt;&gt;"", T15&lt;&gt;""))), "Accredited", "In Progress")</f>
        <v/>
      </c>
      <c r="V15" s="23" t="n"/>
      <c r="W15" s="23" t="inlineStr">
        <is>
          <t>In Progress</t>
        </is>
      </c>
      <c r="X15" s="25" t="n"/>
      <c r="Y15" s="23" t="n"/>
      <c r="Z15" s="23" t="n"/>
      <c r="AA15" s="23" t="n"/>
      <c r="AB15" s="23" t="n"/>
      <c r="AC15" s="23" t="n"/>
      <c r="AD15" s="23" t="n"/>
      <c r="AE15" s="23" t="n"/>
      <c r="AF15" s="23" t="n"/>
    </row>
    <row r="16" ht="12.75" customHeight="1">
      <c r="A16" s="22" t="n">
        <v>686107</v>
      </c>
      <c r="B16" s="22" t="inlineStr">
        <is>
          <t>e-Safer</t>
        </is>
      </c>
      <c r="C16" s="22" t="inlineStr">
        <is>
          <t>E-Safer</t>
        </is>
      </c>
      <c r="D16" s="22" t="inlineStr">
        <is>
          <t>Sergio Lima</t>
        </is>
      </c>
      <c r="E16" s="22" t="inlineStr">
        <is>
          <t>Bronze</t>
        </is>
      </c>
      <c r="G16" s="23" t="n"/>
      <c r="H16" s="23" t="inlineStr">
        <is>
          <t>OK</t>
        </is>
      </c>
      <c r="I16" s="23" t="n"/>
      <c r="J16" s="23" t="n"/>
      <c r="K16" s="23" t="n"/>
      <c r="L16" s="23" t="inlineStr">
        <is>
          <t>OK</t>
        </is>
      </c>
      <c r="M16" s="23" t="inlineStr">
        <is>
          <t>OK</t>
        </is>
      </c>
      <c r="N16" s="23">
        <f>IF(AND(G16&lt;&gt;"", OR(H16&lt;&gt;"", I16&lt;&gt;""), J16&lt;&gt;"", K16&lt;&gt;"", L16&lt;&gt;"", M16&lt;&gt;""), "Accredited", "In Progress")</f>
        <v/>
      </c>
      <c r="O16" s="23" t="n"/>
      <c r="P16" s="23" t="n"/>
      <c r="Q16" s="23" t="n"/>
      <c r="R16" s="23" t="n"/>
      <c r="S16" s="23" t="n"/>
      <c r="T16" s="23" t="n"/>
      <c r="U16" s="23">
        <f>IF(AND(O16&lt;&gt;"", OR(P16&lt;&gt;"", Q16&lt;&gt;""), OR(AND(R16&lt;&gt;"", S16&lt;&gt;""), AND(S16&lt;&gt;"", T16&lt;&gt;""), AND(R16&lt;&gt;"", T16&lt;&gt;""))), "Accredited", "In Progress")</f>
        <v/>
      </c>
      <c r="V16" s="23" t="n"/>
      <c r="W16" s="23">
        <f>IF(AND(Q16&lt;&gt;"", OR(R16&lt;&gt;"", S16&lt;&gt;""), OR(AND(T16&lt;&gt;"", U16&lt;&gt;""), AND(U16&lt;&gt;"", V16&lt;&gt;""), AND(T16&lt;&gt;"", V16&lt;&gt;""))), "Accredited", "In Progress")</f>
        <v/>
      </c>
      <c r="X16" s="25" t="n"/>
      <c r="Y16" s="23" t="n"/>
      <c r="Z16" s="23" t="n"/>
      <c r="AA16" s="23" t="n"/>
      <c r="AB16" s="23" t="n"/>
      <c r="AC16" s="23" t="n"/>
      <c r="AD16" s="23" t="n"/>
      <c r="AE16" s="23" t="n"/>
      <c r="AF16" s="23" t="n"/>
    </row>
    <row r="17" ht="12.75" customHeight="1">
      <c r="A17" s="22" t="inlineStr">
        <is>
          <t>001f200001xtmLIAAY</t>
        </is>
      </c>
      <c r="B17" s="22" t="inlineStr">
        <is>
          <t>Servix Informática Ltda</t>
        </is>
      </c>
      <c r="C17" s="22" t="inlineStr">
        <is>
          <t>Servix</t>
        </is>
      </c>
      <c r="D17" s="22" t="inlineStr">
        <is>
          <t>Noah Nascimento</t>
        </is>
      </c>
      <c r="E17" s="22" t="inlineStr">
        <is>
          <t>Bronze</t>
        </is>
      </c>
      <c r="G17" s="23" t="n"/>
      <c r="H17" s="23" t="inlineStr">
        <is>
          <t>OK</t>
        </is>
      </c>
      <c r="I17" s="23" t="inlineStr">
        <is>
          <t>OK</t>
        </is>
      </c>
      <c r="J17" s="23" t="n"/>
      <c r="K17" s="23" t="n"/>
      <c r="L17" s="23" t="n"/>
      <c r="M17" s="23" t="n"/>
      <c r="N17" s="23">
        <f>IF(AND(G17&lt;&gt;"", OR(H17&lt;&gt;"", I17&lt;&gt;""), J17&lt;&gt;"", K17&lt;&gt;"", L17&lt;&gt;"", M17&lt;&gt;""), "Accredited", "In Progress")</f>
        <v/>
      </c>
      <c r="O17" s="23" t="n"/>
      <c r="P17" s="23" t="inlineStr">
        <is>
          <t>OK</t>
        </is>
      </c>
      <c r="Q17" s="23" t="n"/>
      <c r="R17" s="23" t="n"/>
      <c r="S17" s="23" t="n"/>
      <c r="T17" s="23" t="inlineStr">
        <is>
          <t>OK</t>
        </is>
      </c>
      <c r="U17" s="23">
        <f>IF(AND(O17&lt;&gt;"", OR(P17&lt;&gt;"", Q17&lt;&gt;""), OR(AND(R17&lt;&gt;"", S17&lt;&gt;""), AND(S17&lt;&gt;"", T17&lt;&gt;""), AND(R17&lt;&gt;"", T17&lt;&gt;""))), "Accredited", "In Progress")</f>
        <v/>
      </c>
      <c r="V17" s="23" t="n"/>
      <c r="W17" s="23">
        <f>IF(AND(N17="Accredited", U17="Accredited",V17&lt;&gt;""), "Accredited", "In Progress")</f>
        <v/>
      </c>
      <c r="X17" s="25" t="n"/>
      <c r="Y17" s="23" t="n"/>
      <c r="Z17" s="23" t="n"/>
      <c r="AA17" s="23" t="n"/>
      <c r="AB17" s="23" t="n"/>
      <c r="AC17" s="23" t="n"/>
      <c r="AD17" s="23" t="n"/>
      <c r="AE17" s="23" t="n"/>
      <c r="AF17" s="23" t="n"/>
    </row>
    <row r="18" ht="12.75" customHeight="1">
      <c r="A18" s="39" t="n">
        <v>644733</v>
      </c>
      <c r="B18" s="39" t="inlineStr">
        <is>
          <t>IT PROTECT SERVICOS DE CONSULTORIA EM INFORMATICA EIRELI</t>
        </is>
      </c>
      <c r="C18" s="39" t="inlineStr">
        <is>
          <t>IT Protect</t>
        </is>
      </c>
      <c r="D18" s="39" t="n"/>
      <c r="E18" s="39" t="inlineStr">
        <is>
          <t>Bronze</t>
        </is>
      </c>
      <c r="F18" s="41" t="n"/>
      <c r="G18" s="23" t="inlineStr">
        <is>
          <t>OK</t>
        </is>
      </c>
      <c r="H18" s="23" t="inlineStr">
        <is>
          <t>OK</t>
        </is>
      </c>
      <c r="I18" s="23" t="inlineStr">
        <is>
          <t>OK</t>
        </is>
      </c>
      <c r="J18" s="23" t="n"/>
      <c r="K18" s="23" t="inlineStr">
        <is>
          <t>OK</t>
        </is>
      </c>
      <c r="L18" s="23" t="inlineStr">
        <is>
          <t>OK</t>
        </is>
      </c>
      <c r="M18" s="23" t="inlineStr">
        <is>
          <t>OK</t>
        </is>
      </c>
      <c r="N18" s="23">
        <f>IF(AND(G18&lt;&gt;"", OR(H18&lt;&gt;"", I18&lt;&gt;""), J18&lt;&gt;"", K18&lt;&gt;"", L18&lt;&gt;"", M18&lt;&gt;""), "Accredited", "In Progress")</f>
        <v/>
      </c>
      <c r="O18" s="23" t="n"/>
      <c r="P18" s="23" t="inlineStr">
        <is>
          <t>OK</t>
        </is>
      </c>
      <c r="Q18" s="23" t="inlineStr">
        <is>
          <t>OK</t>
        </is>
      </c>
      <c r="R18" s="23" t="n"/>
      <c r="S18" s="23" t="n"/>
      <c r="T18" s="23" t="inlineStr">
        <is>
          <t>OK</t>
        </is>
      </c>
      <c r="U18" s="23">
        <f>IF(AND(O18&lt;&gt;"", OR(P18&lt;&gt;"", Q18&lt;&gt;""), OR(AND(R18&lt;&gt;"", S18&lt;&gt;""), AND(S18&lt;&gt;"", T18&lt;&gt;""), AND(R18&lt;&gt;"", T18&lt;&gt;""))), "Accredited", "In Progress")</f>
        <v/>
      </c>
      <c r="V18" s="23" t="n"/>
      <c r="W18" s="23">
        <f>IF(AND(N18="Accredited", U18="Accredited",V18&lt;&gt;""), "Accredited", "In Progress")</f>
        <v/>
      </c>
      <c r="X18" s="42" t="n"/>
      <c r="Y18" s="23" t="n"/>
      <c r="Z18" s="23" t="n"/>
      <c r="AA18" s="23" t="n"/>
      <c r="AB18" s="23" t="n"/>
      <c r="AC18" s="23" t="n"/>
      <c r="AD18" s="23" t="n"/>
      <c r="AE18" s="23" t="n"/>
      <c r="AF18" s="23" t="n"/>
    </row>
    <row r="19" ht="12.75" customHeight="1"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5" t="n"/>
      <c r="Y19" s="23" t="n"/>
      <c r="Z19" s="23" t="n"/>
      <c r="AA19" s="23" t="n"/>
      <c r="AB19" s="23" t="n"/>
      <c r="AC19" s="23" t="n"/>
      <c r="AD19" s="23" t="n"/>
      <c r="AE19" s="23" t="n"/>
      <c r="AF19" s="23" t="n"/>
    </row>
    <row r="20" ht="12.75" customHeight="1"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5" t="n"/>
      <c r="Y20" s="23" t="n"/>
      <c r="Z20" s="23" t="n"/>
      <c r="AA20" s="23" t="n"/>
      <c r="AB20" s="23" t="n"/>
      <c r="AC20" s="23" t="n"/>
      <c r="AD20" s="23" t="n"/>
      <c r="AE20" s="23" t="n"/>
      <c r="AF20" s="23" t="n"/>
    </row>
    <row r="21" ht="12.75" customHeight="1">
      <c r="O21" s="28" t="n"/>
      <c r="P21" s="28" t="n"/>
      <c r="Q21" s="28" t="n"/>
      <c r="R21" s="28" t="n"/>
      <c r="S21" s="28" t="n"/>
      <c r="T21" s="28" t="n"/>
      <c r="U21" s="28" t="n"/>
      <c r="W21" s="28" t="n"/>
    </row>
    <row r="22" ht="12.75" customHeight="1">
      <c r="O22" s="28" t="n"/>
      <c r="P22" s="28" t="n"/>
      <c r="Q22" s="28" t="n"/>
      <c r="R22" s="28" t="n"/>
      <c r="S22" s="28" t="n"/>
      <c r="T22" s="28" t="n"/>
      <c r="U22" s="28" t="n"/>
      <c r="W22" s="28" t="n"/>
    </row>
    <row r="23" ht="12.75" customHeight="1">
      <c r="O23" s="28" t="n"/>
      <c r="P23" s="28" t="n"/>
      <c r="Q23" s="28" t="n"/>
      <c r="R23" s="28" t="n"/>
      <c r="S23" s="28" t="n"/>
      <c r="T23" s="28" t="n"/>
      <c r="U23" s="28" t="n"/>
      <c r="W23" s="28" t="n"/>
    </row>
    <row r="24" ht="12.75" customHeight="1">
      <c r="O24" s="28" t="n"/>
      <c r="P24" s="28" t="n"/>
      <c r="Q24" s="28" t="n"/>
      <c r="R24" s="28" t="n"/>
      <c r="S24" s="28" t="n"/>
      <c r="T24" s="28" t="n"/>
      <c r="U24" s="28" t="n"/>
      <c r="W24" s="28" t="n"/>
    </row>
    <row r="25" ht="12.75" customHeight="1">
      <c r="O25" s="28" t="n"/>
      <c r="P25" s="28" t="n"/>
      <c r="Q25" s="28" t="n"/>
      <c r="R25" s="28" t="n"/>
      <c r="S25" s="28" t="n"/>
      <c r="T25" s="28" t="n"/>
      <c r="U25" s="28" t="n"/>
      <c r="W25" s="28" t="n"/>
    </row>
    <row r="26" ht="12.75" customHeight="1">
      <c r="O26" s="28" t="n"/>
      <c r="P26" s="28" t="n"/>
      <c r="Q26" s="28" t="n"/>
      <c r="R26" s="28" t="n"/>
      <c r="S26" s="28" t="n"/>
      <c r="T26" s="28" t="n"/>
      <c r="U26" s="28" t="n"/>
      <c r="W26" s="28" t="n"/>
    </row>
    <row r="27" ht="12.75" customHeight="1">
      <c r="O27" s="28" t="n"/>
      <c r="P27" s="28" t="n"/>
      <c r="Q27" s="28" t="n"/>
      <c r="R27" s="28" t="n"/>
      <c r="S27" s="28" t="n"/>
      <c r="T27" s="28" t="n"/>
      <c r="U27" s="28" t="n"/>
      <c r="W27" s="28" t="n"/>
    </row>
    <row r="28" ht="12.75" customHeight="1">
      <c r="O28" s="28" t="n"/>
      <c r="P28" s="28" t="n"/>
      <c r="Q28" s="28" t="n"/>
      <c r="R28" s="28" t="n"/>
      <c r="S28" s="28" t="n"/>
      <c r="T28" s="28" t="n"/>
      <c r="U28" s="28" t="n"/>
      <c r="W28" s="28" t="n"/>
    </row>
    <row r="29" ht="12.75" customHeight="1">
      <c r="O29" s="28" t="n"/>
      <c r="P29" s="28" t="n"/>
      <c r="Q29" s="28" t="n"/>
      <c r="R29" s="28" t="n"/>
      <c r="S29" s="28" t="n"/>
      <c r="T29" s="28" t="n"/>
      <c r="U29" s="28" t="n"/>
      <c r="W29" s="28" t="n"/>
    </row>
    <row r="30" ht="12.75" customHeight="1">
      <c r="O30" s="28" t="n"/>
      <c r="P30" s="28" t="n"/>
      <c r="Q30" s="28" t="n"/>
      <c r="R30" s="28" t="n"/>
      <c r="S30" s="28" t="n"/>
      <c r="T30" s="28" t="n"/>
      <c r="U30" s="28" t="n"/>
      <c r="W30" s="28" t="n"/>
    </row>
    <row r="31" ht="12.75" customHeight="1">
      <c r="O31" s="28" t="n"/>
      <c r="P31" s="28" t="n"/>
      <c r="Q31" s="28" t="n"/>
      <c r="R31" s="28" t="n"/>
      <c r="S31" s="28" t="n"/>
      <c r="T31" s="28" t="n"/>
      <c r="U31" s="28" t="n"/>
      <c r="W31" s="28" t="n"/>
    </row>
    <row r="32" ht="12.75" customHeight="1">
      <c r="O32" s="28" t="n"/>
      <c r="P32" s="28" t="n"/>
      <c r="Q32" s="28" t="n"/>
      <c r="R32" s="28" t="n"/>
      <c r="S32" s="28" t="n"/>
      <c r="T32" s="28" t="n"/>
      <c r="U32" s="28" t="n"/>
      <c r="W32" s="28" t="n"/>
    </row>
    <row r="33" ht="12.75" customHeight="1">
      <c r="O33" s="28" t="n"/>
      <c r="P33" s="28" t="n"/>
      <c r="Q33" s="28" t="n"/>
      <c r="R33" s="28" t="n"/>
      <c r="S33" s="28" t="n"/>
      <c r="T33" s="28" t="n"/>
      <c r="U33" s="28" t="n"/>
      <c r="W33" s="28" t="n"/>
    </row>
    <row r="34" ht="12.75" customHeight="1">
      <c r="O34" s="28" t="n"/>
      <c r="P34" s="28" t="n"/>
      <c r="Q34" s="28" t="n"/>
      <c r="R34" s="28" t="n"/>
      <c r="S34" s="28" t="n"/>
      <c r="T34" s="28" t="n"/>
      <c r="U34" s="28" t="n"/>
      <c r="W34" s="28" t="n"/>
    </row>
    <row r="35" ht="12.75" customHeight="1">
      <c r="O35" s="28" t="n"/>
      <c r="P35" s="28" t="n"/>
      <c r="Q35" s="28" t="n"/>
      <c r="R35" s="28" t="n"/>
      <c r="S35" s="28" t="n"/>
      <c r="T35" s="28" t="n"/>
      <c r="U35" s="28" t="n"/>
      <c r="W35" s="28" t="n"/>
    </row>
    <row r="36" ht="12.75" customHeight="1">
      <c r="O36" s="28" t="n"/>
      <c r="P36" s="28" t="n"/>
      <c r="Q36" s="28" t="n"/>
      <c r="R36" s="28" t="n"/>
      <c r="S36" s="28" t="n"/>
      <c r="T36" s="28" t="n"/>
      <c r="U36" s="28" t="n"/>
      <c r="W36" s="28" t="n"/>
    </row>
    <row r="37" ht="12.75" customHeight="1">
      <c r="O37" s="28" t="n"/>
      <c r="P37" s="28" t="n"/>
      <c r="Q37" s="28" t="n"/>
      <c r="R37" s="28" t="n"/>
      <c r="S37" s="28" t="n"/>
      <c r="T37" s="28" t="n"/>
      <c r="U37" s="28" t="n"/>
      <c r="W37" s="28" t="n"/>
    </row>
    <row r="38" ht="12.75" customHeight="1">
      <c r="O38" s="28" t="n"/>
      <c r="P38" s="28" t="n"/>
      <c r="Q38" s="28" t="n"/>
      <c r="R38" s="28" t="n"/>
      <c r="S38" s="28" t="n"/>
      <c r="T38" s="28" t="n"/>
      <c r="U38" s="28" t="n"/>
      <c r="W38" s="28" t="n"/>
    </row>
    <row r="39" ht="12.75" customHeight="1">
      <c r="O39" s="28" t="n"/>
      <c r="P39" s="28" t="n"/>
      <c r="Q39" s="28" t="n"/>
      <c r="R39" s="28" t="n"/>
      <c r="S39" s="28" t="n"/>
      <c r="T39" s="28" t="n"/>
      <c r="U39" s="28" t="n"/>
      <c r="W39" s="28" t="n"/>
    </row>
    <row r="40" ht="12.75" customHeight="1">
      <c r="O40" s="28" t="n"/>
      <c r="P40" s="28" t="n"/>
      <c r="Q40" s="28" t="n"/>
      <c r="R40" s="28" t="n"/>
      <c r="S40" s="28" t="n"/>
      <c r="T40" s="28" t="n"/>
      <c r="U40" s="28" t="n"/>
      <c r="W40" s="28" t="n"/>
    </row>
    <row r="41" ht="12.75" customHeight="1">
      <c r="O41" s="28" t="n"/>
      <c r="P41" s="28" t="n"/>
      <c r="Q41" s="28" t="n"/>
      <c r="R41" s="28" t="n"/>
      <c r="S41" s="28" t="n"/>
      <c r="T41" s="28" t="n"/>
      <c r="U41" s="28" t="n"/>
      <c r="W41" s="28" t="n"/>
    </row>
    <row r="42" ht="12.75" customHeight="1">
      <c r="O42" s="28" t="n"/>
      <c r="P42" s="28" t="n"/>
      <c r="Q42" s="28" t="n"/>
      <c r="R42" s="28" t="n"/>
      <c r="S42" s="28" t="n"/>
      <c r="T42" s="28" t="n"/>
      <c r="U42" s="28" t="n"/>
      <c r="W42" s="28" t="n"/>
    </row>
    <row r="43" ht="12.75" customHeight="1">
      <c r="O43" s="28" t="n"/>
      <c r="P43" s="28" t="n"/>
      <c r="Q43" s="28" t="n"/>
      <c r="R43" s="28" t="n"/>
      <c r="S43" s="28" t="n"/>
      <c r="T43" s="28" t="n"/>
      <c r="U43" s="28" t="n"/>
      <c r="W43" s="28" t="n"/>
    </row>
    <row r="44" ht="12.75" customHeight="1">
      <c r="O44" s="28" t="n"/>
      <c r="P44" s="28" t="n"/>
      <c r="Q44" s="28" t="n"/>
      <c r="R44" s="28" t="n"/>
      <c r="S44" s="28" t="n"/>
      <c r="T44" s="28" t="n"/>
      <c r="U44" s="28" t="n"/>
      <c r="W44" s="28" t="n"/>
    </row>
    <row r="45" ht="12.75" customHeight="1">
      <c r="O45" s="28" t="n"/>
      <c r="P45" s="28" t="n"/>
      <c r="Q45" s="28" t="n"/>
      <c r="R45" s="28" t="n"/>
      <c r="S45" s="28" t="n"/>
      <c r="T45" s="28" t="n"/>
      <c r="U45" s="28" t="n"/>
      <c r="W45" s="28" t="n"/>
    </row>
    <row r="46" ht="12.75" customHeight="1">
      <c r="O46" s="28" t="n"/>
      <c r="P46" s="28" t="n"/>
      <c r="Q46" s="28" t="n"/>
      <c r="R46" s="28" t="n"/>
      <c r="S46" s="28" t="n"/>
      <c r="T46" s="28" t="n"/>
      <c r="U46" s="28" t="n"/>
      <c r="W46" s="28" t="n"/>
    </row>
    <row r="47" ht="12.75" customHeight="1">
      <c r="O47" s="28" t="n"/>
      <c r="P47" s="28" t="n"/>
      <c r="Q47" s="28" t="n"/>
      <c r="R47" s="28" t="n"/>
      <c r="S47" s="28" t="n"/>
      <c r="T47" s="28" t="n"/>
      <c r="U47" s="28" t="n"/>
      <c r="W47" s="28" t="n"/>
    </row>
    <row r="48" ht="12.75" customHeight="1">
      <c r="O48" s="28" t="n"/>
      <c r="P48" s="28" t="n"/>
      <c r="Q48" s="28" t="n"/>
      <c r="R48" s="28" t="n"/>
      <c r="S48" s="28" t="n"/>
      <c r="T48" s="28" t="n"/>
      <c r="U48" s="28" t="n"/>
      <c r="W48" s="28" t="n"/>
    </row>
    <row r="49" ht="12.75" customHeight="1">
      <c r="O49" s="28" t="n"/>
      <c r="P49" s="28" t="n"/>
      <c r="Q49" s="28" t="n"/>
      <c r="R49" s="28" t="n"/>
      <c r="S49" s="28" t="n"/>
      <c r="T49" s="28" t="n"/>
      <c r="U49" s="28" t="n"/>
      <c r="W49" s="28" t="n"/>
    </row>
    <row r="50" ht="12.75" customHeight="1">
      <c r="O50" s="28" t="n"/>
      <c r="P50" s="28" t="n"/>
      <c r="Q50" s="28" t="n"/>
      <c r="R50" s="28" t="n"/>
      <c r="S50" s="28" t="n"/>
      <c r="T50" s="28" t="n"/>
      <c r="U50" s="28" t="n"/>
      <c r="W50" s="28" t="n"/>
    </row>
    <row r="51" ht="12.75" customHeight="1">
      <c r="O51" s="28" t="n"/>
      <c r="P51" s="28" t="n"/>
      <c r="Q51" s="28" t="n"/>
      <c r="R51" s="28" t="n"/>
      <c r="S51" s="28" t="n"/>
      <c r="T51" s="28" t="n"/>
      <c r="U51" s="28" t="n"/>
      <c r="W51" s="28" t="n"/>
    </row>
    <row r="52" ht="12.75" customHeight="1">
      <c r="O52" s="28" t="n"/>
      <c r="P52" s="28" t="n"/>
      <c r="Q52" s="28" t="n"/>
      <c r="R52" s="28" t="n"/>
      <c r="S52" s="28" t="n"/>
      <c r="T52" s="28" t="n"/>
      <c r="U52" s="28" t="n"/>
      <c r="W52" s="28" t="n"/>
    </row>
    <row r="53" ht="12.75" customHeight="1">
      <c r="O53" s="28" t="n"/>
      <c r="P53" s="28" t="n"/>
      <c r="Q53" s="28" t="n"/>
      <c r="R53" s="28" t="n"/>
      <c r="S53" s="28" t="n"/>
      <c r="T53" s="28" t="n"/>
      <c r="U53" s="28" t="n"/>
      <c r="W53" s="28" t="n"/>
    </row>
    <row r="54" ht="12.75" customHeight="1">
      <c r="O54" s="28" t="n"/>
      <c r="P54" s="28" t="n"/>
      <c r="Q54" s="28" t="n"/>
      <c r="R54" s="28" t="n"/>
      <c r="S54" s="28" t="n"/>
      <c r="T54" s="28" t="n"/>
      <c r="U54" s="28" t="n"/>
      <c r="W54" s="28" t="n"/>
    </row>
    <row r="55" ht="12.75" customHeight="1">
      <c r="O55" s="28" t="n"/>
      <c r="P55" s="28" t="n"/>
      <c r="Q55" s="28" t="n"/>
      <c r="R55" s="28" t="n"/>
      <c r="S55" s="28" t="n"/>
      <c r="T55" s="28" t="n"/>
      <c r="U55" s="28" t="n"/>
      <c r="W55" s="28" t="n"/>
    </row>
    <row r="56" ht="12.75" customHeight="1">
      <c r="O56" s="28" t="n"/>
      <c r="P56" s="28" t="n"/>
      <c r="Q56" s="28" t="n"/>
      <c r="R56" s="28" t="n"/>
      <c r="S56" s="28" t="n"/>
      <c r="T56" s="28" t="n"/>
      <c r="U56" s="28" t="n"/>
      <c r="W56" s="28" t="n"/>
    </row>
    <row r="57" ht="12.75" customHeight="1">
      <c r="O57" s="28" t="n"/>
      <c r="P57" s="28" t="n"/>
      <c r="Q57" s="28" t="n"/>
      <c r="R57" s="28" t="n"/>
      <c r="S57" s="28" t="n"/>
      <c r="T57" s="28" t="n"/>
      <c r="U57" s="28" t="n"/>
      <c r="W57" s="28" t="n"/>
    </row>
    <row r="58" ht="12.75" customHeight="1">
      <c r="O58" s="28" t="n"/>
      <c r="P58" s="28" t="n"/>
      <c r="Q58" s="28" t="n"/>
      <c r="R58" s="28" t="n"/>
      <c r="S58" s="28" t="n"/>
      <c r="T58" s="28" t="n"/>
      <c r="U58" s="28" t="n"/>
      <c r="W58" s="28" t="n"/>
    </row>
    <row r="59" ht="12.75" customHeight="1">
      <c r="O59" s="28" t="n"/>
      <c r="P59" s="28" t="n"/>
      <c r="Q59" s="28" t="n"/>
      <c r="R59" s="28" t="n"/>
      <c r="S59" s="28" t="n"/>
      <c r="T59" s="28" t="n"/>
      <c r="U59" s="28" t="n"/>
      <c r="W59" s="28" t="n"/>
    </row>
    <row r="60" ht="12.75" customHeight="1">
      <c r="O60" s="28" t="n"/>
      <c r="P60" s="28" t="n"/>
      <c r="Q60" s="28" t="n"/>
      <c r="R60" s="28" t="n"/>
      <c r="S60" s="28" t="n"/>
      <c r="T60" s="28" t="n"/>
      <c r="U60" s="28" t="n"/>
      <c r="W60" s="28" t="n"/>
    </row>
    <row r="61" ht="12.75" customHeight="1">
      <c r="O61" s="28" t="n"/>
      <c r="P61" s="28" t="n"/>
      <c r="Q61" s="28" t="n"/>
      <c r="R61" s="28" t="n"/>
      <c r="S61" s="28" t="n"/>
      <c r="T61" s="28" t="n"/>
      <c r="U61" s="28" t="n"/>
      <c r="W61" s="28" t="n"/>
    </row>
    <row r="62" ht="12.75" customHeight="1">
      <c r="O62" s="28" t="n"/>
      <c r="P62" s="28" t="n"/>
      <c r="Q62" s="28" t="n"/>
      <c r="R62" s="28" t="n"/>
      <c r="S62" s="28" t="n"/>
      <c r="T62" s="28" t="n"/>
      <c r="U62" s="28" t="n"/>
      <c r="W62" s="28" t="n"/>
    </row>
    <row r="63" ht="12.75" customHeight="1">
      <c r="O63" s="28" t="n"/>
      <c r="P63" s="28" t="n"/>
      <c r="Q63" s="28" t="n"/>
      <c r="R63" s="28" t="n"/>
      <c r="S63" s="28" t="n"/>
      <c r="T63" s="28" t="n"/>
      <c r="U63" s="28" t="n"/>
      <c r="W63" s="28" t="n"/>
    </row>
    <row r="64" ht="12.75" customHeight="1">
      <c r="O64" s="28" t="n"/>
      <c r="P64" s="28" t="n"/>
      <c r="Q64" s="28" t="n"/>
      <c r="R64" s="28" t="n"/>
      <c r="S64" s="28" t="n"/>
      <c r="T64" s="28" t="n"/>
      <c r="U64" s="28" t="n"/>
      <c r="W64" s="28" t="n"/>
    </row>
    <row r="65" ht="12.75" customHeight="1">
      <c r="O65" s="28" t="n"/>
      <c r="P65" s="28" t="n"/>
      <c r="Q65" s="28" t="n"/>
      <c r="R65" s="28" t="n"/>
      <c r="S65" s="28" t="n"/>
      <c r="T65" s="28" t="n"/>
      <c r="U65" s="28" t="n"/>
      <c r="W65" s="28" t="n"/>
    </row>
    <row r="66" ht="12.75" customHeight="1">
      <c r="O66" s="28" t="n"/>
      <c r="P66" s="28" t="n"/>
      <c r="Q66" s="28" t="n"/>
      <c r="R66" s="28" t="n"/>
      <c r="S66" s="28" t="n"/>
      <c r="T66" s="28" t="n"/>
      <c r="U66" s="28" t="n"/>
      <c r="W66" s="28" t="n"/>
    </row>
    <row r="67" ht="12.75" customHeight="1">
      <c r="O67" s="28" t="n"/>
      <c r="P67" s="28" t="n"/>
      <c r="Q67" s="28" t="n"/>
      <c r="R67" s="28" t="n"/>
      <c r="S67" s="28" t="n"/>
      <c r="T67" s="28" t="n"/>
      <c r="U67" s="28" t="n"/>
      <c r="W67" s="28" t="n"/>
    </row>
    <row r="68" ht="12.75" customHeight="1">
      <c r="O68" s="28" t="n"/>
      <c r="P68" s="28" t="n"/>
      <c r="Q68" s="28" t="n"/>
      <c r="R68" s="28" t="n"/>
      <c r="S68" s="28" t="n"/>
      <c r="T68" s="28" t="n"/>
      <c r="U68" s="28" t="n"/>
      <c r="W68" s="28" t="n"/>
    </row>
    <row r="69" ht="12.75" customHeight="1">
      <c r="O69" s="28" t="n"/>
      <c r="P69" s="28" t="n"/>
      <c r="Q69" s="28" t="n"/>
      <c r="R69" s="28" t="n"/>
      <c r="S69" s="28" t="n"/>
      <c r="T69" s="28" t="n"/>
      <c r="U69" s="28" t="n"/>
      <c r="W69" s="28" t="n"/>
    </row>
    <row r="70" ht="12.75" customHeight="1">
      <c r="O70" s="28" t="n"/>
      <c r="P70" s="28" t="n"/>
      <c r="Q70" s="28" t="n"/>
      <c r="R70" s="28" t="n"/>
      <c r="S70" s="28" t="n"/>
      <c r="T70" s="28" t="n"/>
      <c r="U70" s="28" t="n"/>
      <c r="W70" s="28" t="n"/>
    </row>
    <row r="71" ht="12.75" customHeight="1">
      <c r="O71" s="28" t="n"/>
      <c r="P71" s="28" t="n"/>
      <c r="Q71" s="28" t="n"/>
      <c r="R71" s="28" t="n"/>
      <c r="S71" s="28" t="n"/>
      <c r="T71" s="28" t="n"/>
      <c r="U71" s="28" t="n"/>
      <c r="W71" s="28" t="n"/>
    </row>
    <row r="72" ht="12.75" customHeight="1">
      <c r="O72" s="28" t="n"/>
      <c r="P72" s="28" t="n"/>
      <c r="Q72" s="28" t="n"/>
      <c r="R72" s="28" t="n"/>
      <c r="S72" s="28" t="n"/>
      <c r="T72" s="28" t="n"/>
      <c r="U72" s="28" t="n"/>
      <c r="W72" s="28" t="n"/>
    </row>
    <row r="73" ht="12.75" customHeight="1">
      <c r="O73" s="28" t="n"/>
      <c r="P73" s="28" t="n"/>
      <c r="Q73" s="28" t="n"/>
      <c r="R73" s="28" t="n"/>
      <c r="S73" s="28" t="n"/>
      <c r="T73" s="28" t="n"/>
      <c r="U73" s="28" t="n"/>
      <c r="W73" s="28" t="n"/>
    </row>
    <row r="74" ht="12.75" customHeight="1">
      <c r="O74" s="28" t="n"/>
      <c r="P74" s="28" t="n"/>
      <c r="Q74" s="28" t="n"/>
      <c r="R74" s="28" t="n"/>
      <c r="S74" s="28" t="n"/>
      <c r="T74" s="28" t="n"/>
      <c r="U74" s="28" t="n"/>
      <c r="W74" s="28" t="n"/>
    </row>
    <row r="75" ht="12.75" customHeight="1">
      <c r="O75" s="28" t="n"/>
      <c r="P75" s="28" t="n"/>
      <c r="Q75" s="28" t="n"/>
      <c r="R75" s="28" t="n"/>
      <c r="S75" s="28" t="n"/>
      <c r="T75" s="28" t="n"/>
      <c r="U75" s="28" t="n"/>
      <c r="W75" s="28" t="n"/>
    </row>
    <row r="76" ht="12.75" customHeight="1">
      <c r="O76" s="28" t="n"/>
      <c r="P76" s="28" t="n"/>
      <c r="Q76" s="28" t="n"/>
      <c r="R76" s="28" t="n"/>
      <c r="S76" s="28" t="n"/>
      <c r="T76" s="28" t="n"/>
      <c r="U76" s="28" t="n"/>
      <c r="W76" s="28" t="n"/>
    </row>
    <row r="77" ht="12.75" customHeight="1">
      <c r="O77" s="28" t="n"/>
      <c r="P77" s="28" t="n"/>
      <c r="Q77" s="28" t="n"/>
      <c r="R77" s="28" t="n"/>
      <c r="S77" s="28" t="n"/>
      <c r="T77" s="28" t="n"/>
      <c r="U77" s="28" t="n"/>
      <c r="W77" s="28" t="n"/>
    </row>
    <row r="78" ht="12.75" customHeight="1">
      <c r="O78" s="28" t="n"/>
      <c r="P78" s="28" t="n"/>
      <c r="Q78" s="28" t="n"/>
      <c r="R78" s="28" t="n"/>
      <c r="S78" s="28" t="n"/>
      <c r="T78" s="28" t="n"/>
      <c r="U78" s="28" t="n"/>
      <c r="W78" s="28" t="n"/>
    </row>
    <row r="79" ht="12.75" customHeight="1">
      <c r="O79" s="28" t="n"/>
      <c r="P79" s="28" t="n"/>
      <c r="Q79" s="28" t="n"/>
      <c r="R79" s="28" t="n"/>
      <c r="S79" s="28" t="n"/>
      <c r="T79" s="28" t="n"/>
      <c r="U79" s="28" t="n"/>
      <c r="W79" s="28" t="n"/>
    </row>
    <row r="80" ht="12.75" customHeight="1">
      <c r="O80" s="28" t="n"/>
      <c r="P80" s="28" t="n"/>
      <c r="Q80" s="28" t="n"/>
      <c r="R80" s="28" t="n"/>
      <c r="S80" s="28" t="n"/>
      <c r="T80" s="28" t="n"/>
      <c r="U80" s="28" t="n"/>
      <c r="W80" s="28" t="n"/>
    </row>
    <row r="81" ht="12.75" customHeight="1">
      <c r="O81" s="28" t="n"/>
      <c r="P81" s="28" t="n"/>
      <c r="Q81" s="28" t="n"/>
      <c r="R81" s="28" t="n"/>
      <c r="S81" s="28" t="n"/>
      <c r="T81" s="28" t="n"/>
      <c r="U81" s="28" t="n"/>
      <c r="W81" s="28" t="n"/>
    </row>
    <row r="82" ht="12.75" customHeight="1">
      <c r="O82" s="28" t="n"/>
      <c r="P82" s="28" t="n"/>
      <c r="Q82" s="28" t="n"/>
      <c r="R82" s="28" t="n"/>
      <c r="S82" s="28" t="n"/>
      <c r="T82" s="28" t="n"/>
      <c r="U82" s="28" t="n"/>
      <c r="W82" s="28" t="n"/>
    </row>
    <row r="83" ht="12.75" customHeight="1">
      <c r="O83" s="28" t="n"/>
      <c r="P83" s="28" t="n"/>
      <c r="Q83" s="28" t="n"/>
      <c r="R83" s="28" t="n"/>
      <c r="S83" s="28" t="n"/>
      <c r="T83" s="28" t="n"/>
      <c r="U83" s="28" t="n"/>
      <c r="W83" s="28" t="n"/>
    </row>
    <row r="84" ht="12.75" customHeight="1">
      <c r="O84" s="28" t="n"/>
      <c r="P84" s="28" t="n"/>
      <c r="Q84" s="28" t="n"/>
      <c r="R84" s="28" t="n"/>
      <c r="S84" s="28" t="n"/>
      <c r="T84" s="28" t="n"/>
      <c r="U84" s="28" t="n"/>
      <c r="W84" s="28" t="n"/>
    </row>
    <row r="85" ht="12.75" customHeight="1">
      <c r="O85" s="28" t="n"/>
      <c r="P85" s="28" t="n"/>
      <c r="Q85" s="28" t="n"/>
      <c r="R85" s="28" t="n"/>
      <c r="S85" s="28" t="n"/>
      <c r="T85" s="28" t="n"/>
      <c r="U85" s="28" t="n"/>
      <c r="W85" s="28" t="n"/>
    </row>
    <row r="86" ht="12.75" customHeight="1">
      <c r="O86" s="28" t="n"/>
      <c r="P86" s="28" t="n"/>
      <c r="Q86" s="28" t="n"/>
      <c r="R86" s="28" t="n"/>
      <c r="S86" s="28" t="n"/>
      <c r="T86" s="28" t="n"/>
      <c r="U86" s="28" t="n"/>
      <c r="W86" s="28" t="n"/>
    </row>
    <row r="87" ht="12.75" customHeight="1">
      <c r="O87" s="28" t="n"/>
      <c r="P87" s="28" t="n"/>
      <c r="Q87" s="28" t="n"/>
      <c r="R87" s="28" t="n"/>
      <c r="S87" s="28" t="n"/>
      <c r="T87" s="28" t="n"/>
      <c r="U87" s="28" t="n"/>
      <c r="W87" s="28" t="n"/>
    </row>
    <row r="88" ht="12.75" customHeight="1">
      <c r="O88" s="28" t="n"/>
      <c r="P88" s="28" t="n"/>
      <c r="Q88" s="28" t="n"/>
      <c r="R88" s="28" t="n"/>
      <c r="S88" s="28" t="n"/>
      <c r="T88" s="28" t="n"/>
      <c r="U88" s="28" t="n"/>
      <c r="W88" s="28" t="n"/>
    </row>
    <row r="89" ht="12.75" customHeight="1">
      <c r="O89" s="28" t="n"/>
      <c r="P89" s="28" t="n"/>
      <c r="Q89" s="28" t="n"/>
      <c r="R89" s="28" t="n"/>
      <c r="S89" s="28" t="n"/>
      <c r="T89" s="28" t="n"/>
      <c r="U89" s="28" t="n"/>
      <c r="W89" s="28" t="n"/>
    </row>
    <row r="90" ht="12.75" customHeight="1">
      <c r="O90" s="28" t="n"/>
      <c r="P90" s="28" t="n"/>
      <c r="Q90" s="28" t="n"/>
      <c r="R90" s="28" t="n"/>
      <c r="S90" s="28" t="n"/>
      <c r="T90" s="28" t="n"/>
      <c r="U90" s="28" t="n"/>
      <c r="W90" s="28" t="n"/>
    </row>
    <row r="91" ht="12.75" customHeight="1">
      <c r="O91" s="28" t="n"/>
      <c r="P91" s="28" t="n"/>
      <c r="Q91" s="28" t="n"/>
      <c r="R91" s="28" t="n"/>
      <c r="S91" s="28" t="n"/>
      <c r="T91" s="28" t="n"/>
      <c r="U91" s="28" t="n"/>
      <c r="W91" s="28" t="n"/>
    </row>
    <row r="92" ht="12.75" customHeight="1">
      <c r="O92" s="28" t="n"/>
      <c r="P92" s="28" t="n"/>
      <c r="Q92" s="28" t="n"/>
      <c r="R92" s="28" t="n"/>
      <c r="S92" s="28" t="n"/>
      <c r="T92" s="28" t="n"/>
      <c r="U92" s="28" t="n"/>
      <c r="W92" s="28" t="n"/>
    </row>
    <row r="93" ht="12.75" customHeight="1">
      <c r="O93" s="28" t="n"/>
      <c r="P93" s="28" t="n"/>
      <c r="Q93" s="28" t="n"/>
      <c r="R93" s="28" t="n"/>
      <c r="S93" s="28" t="n"/>
      <c r="T93" s="28" t="n"/>
      <c r="U93" s="28" t="n"/>
      <c r="W93" s="28" t="n"/>
    </row>
    <row r="94" ht="12.75" customHeight="1">
      <c r="O94" s="28" t="n"/>
      <c r="P94" s="28" t="n"/>
      <c r="Q94" s="28" t="n"/>
      <c r="R94" s="28" t="n"/>
      <c r="S94" s="28" t="n"/>
      <c r="T94" s="28" t="n"/>
      <c r="U94" s="28" t="n"/>
      <c r="W94" s="28" t="n"/>
    </row>
    <row r="95" ht="12.75" customHeight="1">
      <c r="O95" s="28" t="n"/>
      <c r="P95" s="28" t="n"/>
      <c r="Q95" s="28" t="n"/>
      <c r="R95" s="28" t="n"/>
      <c r="S95" s="28" t="n"/>
      <c r="T95" s="28" t="n"/>
      <c r="U95" s="28" t="n"/>
      <c r="W95" s="28" t="n"/>
    </row>
    <row r="96" ht="12.75" customHeight="1">
      <c r="O96" s="28" t="n"/>
      <c r="P96" s="28" t="n"/>
      <c r="Q96" s="28" t="n"/>
      <c r="R96" s="28" t="n"/>
      <c r="S96" s="28" t="n"/>
      <c r="T96" s="28" t="n"/>
      <c r="U96" s="28" t="n"/>
      <c r="W96" s="28" t="n"/>
    </row>
    <row r="97" ht="12.75" customHeight="1">
      <c r="O97" s="28" t="n"/>
      <c r="P97" s="28" t="n"/>
      <c r="Q97" s="28" t="n"/>
      <c r="R97" s="28" t="n"/>
      <c r="S97" s="28" t="n"/>
      <c r="T97" s="28" t="n"/>
      <c r="U97" s="28" t="n"/>
      <c r="W97" s="28" t="n"/>
    </row>
    <row r="98" ht="12.75" customHeight="1">
      <c r="O98" s="28" t="n"/>
      <c r="P98" s="28" t="n"/>
      <c r="Q98" s="28" t="n"/>
      <c r="R98" s="28" t="n"/>
      <c r="S98" s="28" t="n"/>
      <c r="T98" s="28" t="n"/>
      <c r="U98" s="28" t="n"/>
      <c r="W98" s="28" t="n"/>
    </row>
    <row r="99" ht="12.75" customHeight="1">
      <c r="O99" s="28" t="n"/>
      <c r="P99" s="28" t="n"/>
      <c r="Q99" s="28" t="n"/>
      <c r="R99" s="28" t="n"/>
      <c r="S99" s="28" t="n"/>
      <c r="T99" s="28" t="n"/>
      <c r="U99" s="28" t="n"/>
      <c r="W99" s="28" t="n"/>
    </row>
    <row r="100" ht="12.75" customHeight="1">
      <c r="O100" s="28" t="n"/>
      <c r="P100" s="28" t="n"/>
      <c r="Q100" s="28" t="n"/>
      <c r="R100" s="28" t="n"/>
      <c r="S100" s="28" t="n"/>
      <c r="T100" s="28" t="n"/>
      <c r="U100" s="28" t="n"/>
      <c r="W100" s="28" t="n"/>
    </row>
    <row r="101" ht="12.75" customHeight="1">
      <c r="O101" s="28" t="n"/>
      <c r="P101" s="28" t="n"/>
      <c r="Q101" s="28" t="n"/>
      <c r="R101" s="28" t="n"/>
      <c r="S101" s="28" t="n"/>
      <c r="T101" s="28" t="n"/>
      <c r="U101" s="28" t="n"/>
      <c r="W101" s="28" t="n"/>
    </row>
    <row r="102" ht="12.75" customHeight="1">
      <c r="O102" s="28" t="n"/>
      <c r="P102" s="28" t="n"/>
      <c r="Q102" s="28" t="n"/>
      <c r="R102" s="28" t="n"/>
      <c r="S102" s="28" t="n"/>
      <c r="T102" s="28" t="n"/>
      <c r="U102" s="28" t="n"/>
      <c r="W102" s="28" t="n"/>
    </row>
    <row r="103" ht="12.75" customHeight="1">
      <c r="O103" s="28" t="n"/>
      <c r="P103" s="28" t="n"/>
      <c r="Q103" s="28" t="n"/>
      <c r="R103" s="28" t="n"/>
      <c r="S103" s="28" t="n"/>
      <c r="T103" s="28" t="n"/>
      <c r="U103" s="28" t="n"/>
      <c r="W103" s="28" t="n"/>
    </row>
    <row r="104" ht="12.75" customHeight="1">
      <c r="O104" s="28" t="n"/>
      <c r="P104" s="28" t="n"/>
      <c r="Q104" s="28" t="n"/>
      <c r="R104" s="28" t="n"/>
      <c r="S104" s="28" t="n"/>
      <c r="T104" s="28" t="n"/>
      <c r="U104" s="28" t="n"/>
      <c r="W104" s="28" t="n"/>
    </row>
    <row r="105" ht="12.75" customHeight="1">
      <c r="O105" s="28" t="n"/>
      <c r="P105" s="28" t="n"/>
      <c r="Q105" s="28" t="n"/>
      <c r="R105" s="28" t="n"/>
      <c r="S105" s="28" t="n"/>
      <c r="T105" s="28" t="n"/>
      <c r="U105" s="28" t="n"/>
      <c r="W105" s="28" t="n"/>
    </row>
    <row r="106" ht="12.75" customHeight="1">
      <c r="O106" s="28" t="n"/>
      <c r="P106" s="28" t="n"/>
      <c r="Q106" s="28" t="n"/>
      <c r="R106" s="28" t="n"/>
      <c r="S106" s="28" t="n"/>
      <c r="T106" s="28" t="n"/>
      <c r="U106" s="28" t="n"/>
      <c r="W106" s="28" t="n"/>
    </row>
    <row r="107" ht="12.75" customHeight="1">
      <c r="O107" s="28" t="n"/>
      <c r="P107" s="28" t="n"/>
      <c r="Q107" s="28" t="n"/>
      <c r="R107" s="28" t="n"/>
      <c r="S107" s="28" t="n"/>
      <c r="T107" s="28" t="n"/>
      <c r="U107" s="28" t="n"/>
      <c r="W107" s="28" t="n"/>
    </row>
    <row r="108" ht="12.75" customHeight="1">
      <c r="O108" s="28" t="n"/>
      <c r="P108" s="28" t="n"/>
      <c r="Q108" s="28" t="n"/>
      <c r="R108" s="28" t="n"/>
      <c r="S108" s="28" t="n"/>
      <c r="T108" s="28" t="n"/>
      <c r="U108" s="28" t="n"/>
      <c r="W108" s="28" t="n"/>
    </row>
    <row r="109" ht="12.75" customHeight="1">
      <c r="O109" s="28" t="n"/>
      <c r="P109" s="28" t="n"/>
      <c r="Q109" s="28" t="n"/>
      <c r="R109" s="28" t="n"/>
      <c r="S109" s="28" t="n"/>
      <c r="T109" s="28" t="n"/>
      <c r="U109" s="28" t="n"/>
      <c r="W109" s="28" t="n"/>
    </row>
    <row r="110" ht="12.75" customHeight="1">
      <c r="O110" s="28" t="n"/>
      <c r="P110" s="28" t="n"/>
      <c r="Q110" s="28" t="n"/>
      <c r="R110" s="28" t="n"/>
      <c r="S110" s="28" t="n"/>
      <c r="T110" s="28" t="n"/>
      <c r="U110" s="28" t="n"/>
      <c r="W110" s="28" t="n"/>
    </row>
    <row r="111" ht="12.75" customHeight="1">
      <c r="O111" s="28" t="n"/>
      <c r="P111" s="28" t="n"/>
      <c r="Q111" s="28" t="n"/>
      <c r="R111" s="28" t="n"/>
      <c r="S111" s="28" t="n"/>
      <c r="T111" s="28" t="n"/>
      <c r="U111" s="28" t="n"/>
      <c r="W111" s="28" t="n"/>
    </row>
    <row r="112" ht="12.75" customHeight="1">
      <c r="O112" s="28" t="n"/>
      <c r="P112" s="28" t="n"/>
      <c r="Q112" s="28" t="n"/>
      <c r="R112" s="28" t="n"/>
      <c r="S112" s="28" t="n"/>
      <c r="T112" s="28" t="n"/>
      <c r="U112" s="28" t="n"/>
      <c r="W112" s="28" t="n"/>
    </row>
    <row r="113" ht="12.75" customHeight="1">
      <c r="O113" s="28" t="n"/>
      <c r="P113" s="28" t="n"/>
      <c r="Q113" s="28" t="n"/>
      <c r="R113" s="28" t="n"/>
      <c r="S113" s="28" t="n"/>
      <c r="T113" s="28" t="n"/>
      <c r="U113" s="28" t="n"/>
      <c r="W113" s="28" t="n"/>
    </row>
    <row r="114" ht="12.75" customHeight="1">
      <c r="O114" s="28" t="n"/>
      <c r="P114" s="28" t="n"/>
      <c r="Q114" s="28" t="n"/>
      <c r="R114" s="28" t="n"/>
      <c r="S114" s="28" t="n"/>
      <c r="T114" s="28" t="n"/>
      <c r="U114" s="28" t="n"/>
      <c r="W114" s="28" t="n"/>
    </row>
    <row r="115" ht="12.75" customHeight="1">
      <c r="O115" s="28" t="n"/>
      <c r="P115" s="28" t="n"/>
      <c r="Q115" s="28" t="n"/>
      <c r="R115" s="28" t="n"/>
      <c r="S115" s="28" t="n"/>
      <c r="T115" s="28" t="n"/>
      <c r="U115" s="28" t="n"/>
      <c r="W115" s="28" t="n"/>
    </row>
    <row r="116" ht="12.75" customHeight="1">
      <c r="O116" s="28" t="n"/>
      <c r="P116" s="28" t="n"/>
      <c r="Q116" s="28" t="n"/>
      <c r="R116" s="28" t="n"/>
      <c r="S116" s="28" t="n"/>
      <c r="T116" s="28" t="n"/>
      <c r="U116" s="28" t="n"/>
      <c r="W116" s="28" t="n"/>
    </row>
    <row r="117" ht="12.75" customHeight="1">
      <c r="O117" s="28" t="n"/>
      <c r="P117" s="28" t="n"/>
      <c r="Q117" s="28" t="n"/>
      <c r="R117" s="28" t="n"/>
      <c r="S117" s="28" t="n"/>
      <c r="T117" s="28" t="n"/>
      <c r="U117" s="28" t="n"/>
      <c r="W117" s="28" t="n"/>
    </row>
    <row r="118" ht="12.75" customHeight="1">
      <c r="O118" s="28" t="n"/>
      <c r="P118" s="28" t="n"/>
      <c r="Q118" s="28" t="n"/>
      <c r="R118" s="28" t="n"/>
      <c r="S118" s="28" t="n"/>
      <c r="T118" s="28" t="n"/>
      <c r="U118" s="28" t="n"/>
      <c r="W118" s="28" t="n"/>
    </row>
    <row r="119" ht="12.75" customHeight="1">
      <c r="O119" s="28" t="n"/>
      <c r="P119" s="28" t="n"/>
      <c r="Q119" s="28" t="n"/>
      <c r="R119" s="28" t="n"/>
      <c r="S119" s="28" t="n"/>
      <c r="T119" s="28" t="n"/>
      <c r="U119" s="28" t="n"/>
      <c r="W119" s="28" t="n"/>
    </row>
    <row r="120" ht="12.75" customHeight="1">
      <c r="O120" s="28" t="n"/>
      <c r="P120" s="28" t="n"/>
      <c r="Q120" s="28" t="n"/>
      <c r="R120" s="28" t="n"/>
      <c r="S120" s="28" t="n"/>
      <c r="T120" s="28" t="n"/>
      <c r="U120" s="28" t="n"/>
      <c r="W120" s="28" t="n"/>
    </row>
    <row r="121" ht="12.75" customHeight="1">
      <c r="O121" s="28" t="n"/>
      <c r="P121" s="28" t="n"/>
      <c r="Q121" s="28" t="n"/>
      <c r="R121" s="28" t="n"/>
      <c r="S121" s="28" t="n"/>
      <c r="T121" s="28" t="n"/>
      <c r="U121" s="28" t="n"/>
      <c r="W121" s="28" t="n"/>
    </row>
    <row r="122" ht="12.75" customHeight="1">
      <c r="O122" s="28" t="n"/>
      <c r="P122" s="28" t="n"/>
      <c r="Q122" s="28" t="n"/>
      <c r="R122" s="28" t="n"/>
      <c r="S122" s="28" t="n"/>
      <c r="T122" s="28" t="n"/>
      <c r="U122" s="28" t="n"/>
      <c r="W122" s="28" t="n"/>
    </row>
    <row r="123" ht="12.75" customHeight="1">
      <c r="O123" s="28" t="n"/>
      <c r="P123" s="28" t="n"/>
      <c r="Q123" s="28" t="n"/>
      <c r="R123" s="28" t="n"/>
      <c r="S123" s="28" t="n"/>
      <c r="T123" s="28" t="n"/>
      <c r="U123" s="28" t="n"/>
      <c r="W123" s="28" t="n"/>
    </row>
    <row r="124" ht="12.75" customHeight="1">
      <c r="O124" s="28" t="n"/>
      <c r="P124" s="28" t="n"/>
      <c r="Q124" s="28" t="n"/>
      <c r="R124" s="28" t="n"/>
      <c r="S124" s="28" t="n"/>
      <c r="T124" s="28" t="n"/>
      <c r="U124" s="28" t="n"/>
      <c r="W124" s="28" t="n"/>
    </row>
    <row r="125" ht="12.75" customHeight="1">
      <c r="O125" s="28" t="n"/>
      <c r="P125" s="28" t="n"/>
      <c r="Q125" s="28" t="n"/>
      <c r="R125" s="28" t="n"/>
      <c r="S125" s="28" t="n"/>
      <c r="T125" s="28" t="n"/>
      <c r="U125" s="28" t="n"/>
      <c r="W125" s="28" t="n"/>
    </row>
    <row r="126" ht="12.75" customHeight="1">
      <c r="O126" s="28" t="n"/>
      <c r="P126" s="28" t="n"/>
      <c r="Q126" s="28" t="n"/>
      <c r="R126" s="28" t="n"/>
      <c r="S126" s="28" t="n"/>
      <c r="T126" s="28" t="n"/>
      <c r="U126" s="28" t="n"/>
      <c r="W126" s="28" t="n"/>
    </row>
    <row r="127" ht="12.75" customHeight="1">
      <c r="O127" s="28" t="n"/>
      <c r="P127" s="28" t="n"/>
      <c r="Q127" s="28" t="n"/>
      <c r="R127" s="28" t="n"/>
      <c r="S127" s="28" t="n"/>
      <c r="T127" s="28" t="n"/>
      <c r="U127" s="28" t="n"/>
      <c r="W127" s="28" t="n"/>
    </row>
    <row r="128" ht="12.75" customHeight="1">
      <c r="O128" s="28" t="n"/>
      <c r="P128" s="28" t="n"/>
      <c r="Q128" s="28" t="n"/>
      <c r="R128" s="28" t="n"/>
      <c r="S128" s="28" t="n"/>
      <c r="T128" s="28" t="n"/>
      <c r="U128" s="28" t="n"/>
      <c r="W128" s="28" t="n"/>
    </row>
    <row r="129" ht="12.75" customHeight="1">
      <c r="O129" s="28" t="n"/>
      <c r="P129" s="28" t="n"/>
      <c r="Q129" s="28" t="n"/>
      <c r="R129" s="28" t="n"/>
      <c r="S129" s="28" t="n"/>
      <c r="T129" s="28" t="n"/>
      <c r="U129" s="28" t="n"/>
      <c r="W129" s="28" t="n"/>
    </row>
    <row r="130" ht="12.75" customHeight="1">
      <c r="O130" s="28" t="n"/>
      <c r="P130" s="28" t="n"/>
      <c r="Q130" s="28" t="n"/>
      <c r="R130" s="28" t="n"/>
      <c r="S130" s="28" t="n"/>
      <c r="T130" s="28" t="n"/>
      <c r="U130" s="28" t="n"/>
      <c r="W130" s="28" t="n"/>
    </row>
    <row r="131" ht="12.75" customHeight="1">
      <c r="O131" s="28" t="n"/>
      <c r="P131" s="28" t="n"/>
      <c r="Q131" s="28" t="n"/>
      <c r="R131" s="28" t="n"/>
      <c r="S131" s="28" t="n"/>
      <c r="T131" s="28" t="n"/>
      <c r="U131" s="28" t="n"/>
      <c r="W131" s="28" t="n"/>
    </row>
    <row r="132" ht="12.75" customHeight="1">
      <c r="O132" s="28" t="n"/>
      <c r="P132" s="28" t="n"/>
      <c r="Q132" s="28" t="n"/>
      <c r="R132" s="28" t="n"/>
      <c r="S132" s="28" t="n"/>
      <c r="T132" s="28" t="n"/>
      <c r="U132" s="28" t="n"/>
      <c r="W132" s="28" t="n"/>
    </row>
    <row r="133" ht="12.75" customHeight="1">
      <c r="O133" s="28" t="n"/>
      <c r="P133" s="28" t="n"/>
      <c r="Q133" s="28" t="n"/>
      <c r="R133" s="28" t="n"/>
      <c r="S133" s="28" t="n"/>
      <c r="T133" s="28" t="n"/>
      <c r="U133" s="28" t="n"/>
      <c r="W133" s="28" t="n"/>
    </row>
    <row r="134" ht="12.75" customHeight="1">
      <c r="O134" s="28" t="n"/>
      <c r="P134" s="28" t="n"/>
      <c r="Q134" s="28" t="n"/>
      <c r="R134" s="28" t="n"/>
      <c r="S134" s="28" t="n"/>
      <c r="T134" s="28" t="n"/>
      <c r="U134" s="28" t="n"/>
      <c r="W134" s="28" t="n"/>
    </row>
    <row r="135" ht="12.75" customHeight="1">
      <c r="O135" s="28" t="n"/>
      <c r="P135" s="28" t="n"/>
      <c r="Q135" s="28" t="n"/>
      <c r="R135" s="28" t="n"/>
      <c r="S135" s="28" t="n"/>
      <c r="T135" s="28" t="n"/>
      <c r="U135" s="28" t="n"/>
      <c r="W135" s="28" t="n"/>
    </row>
    <row r="136" ht="12.75" customHeight="1">
      <c r="O136" s="28" t="n"/>
      <c r="P136" s="28" t="n"/>
      <c r="Q136" s="28" t="n"/>
      <c r="R136" s="28" t="n"/>
      <c r="S136" s="28" t="n"/>
      <c r="T136" s="28" t="n"/>
      <c r="U136" s="28" t="n"/>
      <c r="W136" s="28" t="n"/>
    </row>
    <row r="137" ht="12.75" customHeight="1">
      <c r="O137" s="28" t="n"/>
      <c r="P137" s="28" t="n"/>
      <c r="Q137" s="28" t="n"/>
      <c r="R137" s="28" t="n"/>
      <c r="S137" s="28" t="n"/>
      <c r="T137" s="28" t="n"/>
      <c r="U137" s="28" t="n"/>
      <c r="W137" s="28" t="n"/>
    </row>
    <row r="138" ht="12.75" customHeight="1">
      <c r="O138" s="28" t="n"/>
      <c r="P138" s="28" t="n"/>
      <c r="Q138" s="28" t="n"/>
      <c r="R138" s="28" t="n"/>
      <c r="S138" s="28" t="n"/>
      <c r="T138" s="28" t="n"/>
      <c r="U138" s="28" t="n"/>
      <c r="W138" s="28" t="n"/>
    </row>
    <row r="139" ht="12.75" customHeight="1">
      <c r="O139" s="28" t="n"/>
      <c r="P139" s="28" t="n"/>
      <c r="Q139" s="28" t="n"/>
      <c r="R139" s="28" t="n"/>
      <c r="S139" s="28" t="n"/>
      <c r="T139" s="28" t="n"/>
      <c r="U139" s="28" t="n"/>
      <c r="W139" s="28" t="n"/>
    </row>
    <row r="140" ht="12.75" customHeight="1">
      <c r="O140" s="28" t="n"/>
      <c r="P140" s="28" t="n"/>
      <c r="Q140" s="28" t="n"/>
      <c r="R140" s="28" t="n"/>
      <c r="S140" s="28" t="n"/>
      <c r="T140" s="28" t="n"/>
      <c r="U140" s="28" t="n"/>
      <c r="W140" s="28" t="n"/>
    </row>
    <row r="141" ht="12.75" customHeight="1">
      <c r="O141" s="28" t="n"/>
      <c r="P141" s="28" t="n"/>
      <c r="Q141" s="28" t="n"/>
      <c r="R141" s="28" t="n"/>
      <c r="S141" s="28" t="n"/>
      <c r="T141" s="28" t="n"/>
      <c r="U141" s="28" t="n"/>
      <c r="W141" s="28" t="n"/>
    </row>
    <row r="142" ht="12.75" customHeight="1">
      <c r="O142" s="28" t="n"/>
      <c r="P142" s="28" t="n"/>
      <c r="Q142" s="28" t="n"/>
      <c r="R142" s="28" t="n"/>
      <c r="S142" s="28" t="n"/>
      <c r="T142" s="28" t="n"/>
      <c r="U142" s="28" t="n"/>
      <c r="W142" s="28" t="n"/>
    </row>
    <row r="143" ht="12.75" customHeight="1">
      <c r="O143" s="28" t="n"/>
      <c r="P143" s="28" t="n"/>
      <c r="Q143" s="28" t="n"/>
      <c r="R143" s="28" t="n"/>
      <c r="S143" s="28" t="n"/>
      <c r="T143" s="28" t="n"/>
      <c r="U143" s="28" t="n"/>
      <c r="W143" s="28" t="n"/>
    </row>
    <row r="144" ht="12.75" customHeight="1">
      <c r="O144" s="28" t="n"/>
      <c r="P144" s="28" t="n"/>
      <c r="Q144" s="28" t="n"/>
      <c r="R144" s="28" t="n"/>
      <c r="S144" s="28" t="n"/>
      <c r="T144" s="28" t="n"/>
      <c r="U144" s="28" t="n"/>
      <c r="W144" s="28" t="n"/>
    </row>
    <row r="145" ht="12.75" customHeight="1">
      <c r="O145" s="28" t="n"/>
      <c r="P145" s="28" t="n"/>
      <c r="Q145" s="28" t="n"/>
      <c r="R145" s="28" t="n"/>
      <c r="S145" s="28" t="n"/>
      <c r="T145" s="28" t="n"/>
      <c r="U145" s="28" t="n"/>
      <c r="W145" s="28" t="n"/>
    </row>
    <row r="146" ht="12.75" customHeight="1">
      <c r="O146" s="28" t="n"/>
      <c r="P146" s="28" t="n"/>
      <c r="Q146" s="28" t="n"/>
      <c r="R146" s="28" t="n"/>
      <c r="S146" s="28" t="n"/>
      <c r="T146" s="28" t="n"/>
      <c r="U146" s="28" t="n"/>
      <c r="W146" s="28" t="n"/>
    </row>
    <row r="147" ht="12.75" customHeight="1">
      <c r="O147" s="28" t="n"/>
      <c r="P147" s="28" t="n"/>
      <c r="Q147" s="28" t="n"/>
      <c r="R147" s="28" t="n"/>
      <c r="S147" s="28" t="n"/>
      <c r="T147" s="28" t="n"/>
      <c r="U147" s="28" t="n"/>
      <c r="W147" s="28" t="n"/>
    </row>
    <row r="148" ht="12.75" customHeight="1">
      <c r="O148" s="28" t="n"/>
      <c r="P148" s="28" t="n"/>
      <c r="Q148" s="28" t="n"/>
      <c r="R148" s="28" t="n"/>
      <c r="S148" s="28" t="n"/>
      <c r="T148" s="28" t="n"/>
      <c r="U148" s="28" t="n"/>
      <c r="W148" s="28" t="n"/>
    </row>
    <row r="149" ht="12.75" customHeight="1">
      <c r="O149" s="28" t="n"/>
      <c r="P149" s="28" t="n"/>
      <c r="Q149" s="28" t="n"/>
      <c r="R149" s="28" t="n"/>
      <c r="S149" s="28" t="n"/>
      <c r="T149" s="28" t="n"/>
      <c r="U149" s="28" t="n"/>
      <c r="W149" s="28" t="n"/>
    </row>
    <row r="150" ht="12.75" customHeight="1">
      <c r="O150" s="28" t="n"/>
      <c r="P150" s="28" t="n"/>
      <c r="Q150" s="28" t="n"/>
      <c r="R150" s="28" t="n"/>
      <c r="S150" s="28" t="n"/>
      <c r="T150" s="28" t="n"/>
      <c r="U150" s="28" t="n"/>
      <c r="W150" s="28" t="n"/>
    </row>
    <row r="151" ht="12.75" customHeight="1">
      <c r="O151" s="28" t="n"/>
      <c r="P151" s="28" t="n"/>
      <c r="Q151" s="28" t="n"/>
      <c r="R151" s="28" t="n"/>
      <c r="S151" s="28" t="n"/>
      <c r="T151" s="28" t="n"/>
      <c r="U151" s="28" t="n"/>
      <c r="W151" s="28" t="n"/>
    </row>
    <row r="152" ht="12.75" customHeight="1">
      <c r="O152" s="28" t="n"/>
      <c r="P152" s="28" t="n"/>
      <c r="Q152" s="28" t="n"/>
      <c r="R152" s="28" t="n"/>
      <c r="S152" s="28" t="n"/>
      <c r="T152" s="28" t="n"/>
      <c r="U152" s="28" t="n"/>
      <c r="W152" s="28" t="n"/>
    </row>
    <row r="153" ht="12.75" customHeight="1">
      <c r="O153" s="28" t="n"/>
      <c r="P153" s="28" t="n"/>
      <c r="Q153" s="28" t="n"/>
      <c r="R153" s="28" t="n"/>
      <c r="S153" s="28" t="n"/>
      <c r="T153" s="28" t="n"/>
      <c r="U153" s="28" t="n"/>
      <c r="W153" s="28" t="n"/>
    </row>
    <row r="154" ht="12.75" customHeight="1">
      <c r="O154" s="28" t="n"/>
      <c r="P154" s="28" t="n"/>
      <c r="Q154" s="28" t="n"/>
      <c r="R154" s="28" t="n"/>
      <c r="S154" s="28" t="n"/>
      <c r="T154" s="28" t="n"/>
      <c r="U154" s="28" t="n"/>
      <c r="W154" s="28" t="n"/>
    </row>
    <row r="155" ht="12.75" customHeight="1">
      <c r="O155" s="28" t="n"/>
      <c r="P155" s="28" t="n"/>
      <c r="Q155" s="28" t="n"/>
      <c r="R155" s="28" t="n"/>
      <c r="S155" s="28" t="n"/>
      <c r="T155" s="28" t="n"/>
      <c r="U155" s="28" t="n"/>
      <c r="W155" s="28" t="n"/>
    </row>
    <row r="156" ht="12.75" customHeight="1">
      <c r="O156" s="28" t="n"/>
      <c r="P156" s="28" t="n"/>
      <c r="Q156" s="28" t="n"/>
      <c r="R156" s="28" t="n"/>
      <c r="S156" s="28" t="n"/>
      <c r="T156" s="28" t="n"/>
      <c r="U156" s="28" t="n"/>
      <c r="W156" s="28" t="n"/>
    </row>
    <row r="157" ht="12.75" customHeight="1">
      <c r="O157" s="28" t="n"/>
      <c r="P157" s="28" t="n"/>
      <c r="Q157" s="28" t="n"/>
      <c r="R157" s="28" t="n"/>
      <c r="S157" s="28" t="n"/>
      <c r="T157" s="28" t="n"/>
      <c r="U157" s="28" t="n"/>
      <c r="W157" s="28" t="n"/>
    </row>
    <row r="158" ht="12.75" customHeight="1">
      <c r="O158" s="28" t="n"/>
      <c r="P158" s="28" t="n"/>
      <c r="Q158" s="28" t="n"/>
      <c r="R158" s="28" t="n"/>
      <c r="S158" s="28" t="n"/>
      <c r="T158" s="28" t="n"/>
      <c r="U158" s="28" t="n"/>
      <c r="W158" s="28" t="n"/>
    </row>
    <row r="159" ht="12.75" customHeight="1">
      <c r="O159" s="28" t="n"/>
      <c r="P159" s="28" t="n"/>
      <c r="Q159" s="28" t="n"/>
      <c r="R159" s="28" t="n"/>
      <c r="S159" s="28" t="n"/>
      <c r="T159" s="28" t="n"/>
      <c r="U159" s="28" t="n"/>
      <c r="W159" s="28" t="n"/>
    </row>
    <row r="160" ht="12.75" customHeight="1">
      <c r="O160" s="28" t="n"/>
      <c r="P160" s="28" t="n"/>
      <c r="Q160" s="28" t="n"/>
      <c r="R160" s="28" t="n"/>
      <c r="S160" s="28" t="n"/>
      <c r="T160" s="28" t="n"/>
      <c r="U160" s="28" t="n"/>
      <c r="W160" s="28" t="n"/>
    </row>
    <row r="161" ht="12.75" customHeight="1">
      <c r="O161" s="28" t="n"/>
      <c r="P161" s="28" t="n"/>
      <c r="Q161" s="28" t="n"/>
      <c r="R161" s="28" t="n"/>
      <c r="S161" s="28" t="n"/>
      <c r="T161" s="28" t="n"/>
      <c r="U161" s="28" t="n"/>
      <c r="W161" s="28" t="n"/>
    </row>
    <row r="162" ht="12.75" customHeight="1">
      <c r="O162" s="28" t="n"/>
      <c r="P162" s="28" t="n"/>
      <c r="Q162" s="28" t="n"/>
      <c r="R162" s="28" t="n"/>
      <c r="S162" s="28" t="n"/>
      <c r="T162" s="28" t="n"/>
      <c r="U162" s="28" t="n"/>
      <c r="W162" s="28" t="n"/>
    </row>
    <row r="163" ht="12.75" customHeight="1">
      <c r="O163" s="28" t="n"/>
      <c r="P163" s="28" t="n"/>
      <c r="Q163" s="28" t="n"/>
      <c r="R163" s="28" t="n"/>
      <c r="S163" s="28" t="n"/>
      <c r="T163" s="28" t="n"/>
      <c r="U163" s="28" t="n"/>
      <c r="W163" s="28" t="n"/>
    </row>
    <row r="164" ht="12.75" customHeight="1">
      <c r="O164" s="28" t="n"/>
      <c r="P164" s="28" t="n"/>
      <c r="Q164" s="28" t="n"/>
      <c r="R164" s="28" t="n"/>
      <c r="S164" s="28" t="n"/>
      <c r="T164" s="28" t="n"/>
      <c r="U164" s="28" t="n"/>
      <c r="W164" s="28" t="n"/>
    </row>
    <row r="165" ht="12.75" customHeight="1">
      <c r="O165" s="28" t="n"/>
      <c r="P165" s="28" t="n"/>
      <c r="Q165" s="28" t="n"/>
      <c r="R165" s="28" t="n"/>
      <c r="S165" s="28" t="n"/>
      <c r="T165" s="28" t="n"/>
      <c r="U165" s="28" t="n"/>
      <c r="W165" s="28" t="n"/>
    </row>
    <row r="166" ht="12.75" customHeight="1">
      <c r="O166" s="28" t="n"/>
      <c r="P166" s="28" t="n"/>
      <c r="Q166" s="28" t="n"/>
      <c r="R166" s="28" t="n"/>
      <c r="S166" s="28" t="n"/>
      <c r="T166" s="28" t="n"/>
      <c r="U166" s="28" t="n"/>
      <c r="W166" s="28" t="n"/>
    </row>
    <row r="167" ht="12.75" customHeight="1">
      <c r="O167" s="28" t="n"/>
      <c r="P167" s="28" t="n"/>
      <c r="Q167" s="28" t="n"/>
      <c r="R167" s="28" t="n"/>
      <c r="S167" s="28" t="n"/>
      <c r="T167" s="28" t="n"/>
      <c r="U167" s="28" t="n"/>
      <c r="W167" s="28" t="n"/>
    </row>
    <row r="168" ht="12.75" customHeight="1">
      <c r="O168" s="28" t="n"/>
      <c r="P168" s="28" t="n"/>
      <c r="Q168" s="28" t="n"/>
      <c r="R168" s="28" t="n"/>
      <c r="S168" s="28" t="n"/>
      <c r="T168" s="28" t="n"/>
      <c r="U168" s="28" t="n"/>
      <c r="W168" s="28" t="n"/>
    </row>
    <row r="169" ht="12.75" customHeight="1">
      <c r="O169" s="28" t="n"/>
      <c r="P169" s="28" t="n"/>
      <c r="Q169" s="28" t="n"/>
      <c r="R169" s="28" t="n"/>
      <c r="S169" s="28" t="n"/>
      <c r="T169" s="28" t="n"/>
      <c r="U169" s="28" t="n"/>
      <c r="W169" s="28" t="n"/>
    </row>
    <row r="170" ht="12.75" customHeight="1">
      <c r="O170" s="28" t="n"/>
      <c r="P170" s="28" t="n"/>
      <c r="Q170" s="28" t="n"/>
      <c r="R170" s="28" t="n"/>
      <c r="S170" s="28" t="n"/>
      <c r="T170" s="28" t="n"/>
      <c r="U170" s="28" t="n"/>
      <c r="W170" s="28" t="n"/>
    </row>
    <row r="171" ht="12.75" customHeight="1">
      <c r="O171" s="28" t="n"/>
      <c r="P171" s="28" t="n"/>
      <c r="Q171" s="28" t="n"/>
      <c r="R171" s="28" t="n"/>
      <c r="S171" s="28" t="n"/>
      <c r="T171" s="28" t="n"/>
      <c r="U171" s="28" t="n"/>
      <c r="W171" s="28" t="n"/>
    </row>
    <row r="172" ht="12.75" customHeight="1">
      <c r="O172" s="28" t="n"/>
      <c r="P172" s="28" t="n"/>
      <c r="Q172" s="28" t="n"/>
      <c r="R172" s="28" t="n"/>
      <c r="S172" s="28" t="n"/>
      <c r="T172" s="28" t="n"/>
      <c r="U172" s="28" t="n"/>
      <c r="W172" s="28" t="n"/>
    </row>
    <row r="173" ht="12.75" customHeight="1">
      <c r="O173" s="28" t="n"/>
      <c r="P173" s="28" t="n"/>
      <c r="Q173" s="28" t="n"/>
      <c r="R173" s="28" t="n"/>
      <c r="S173" s="28" t="n"/>
      <c r="T173" s="28" t="n"/>
      <c r="U173" s="28" t="n"/>
      <c r="W173" s="28" t="n"/>
    </row>
    <row r="174" ht="12.75" customHeight="1">
      <c r="O174" s="28" t="n"/>
      <c r="P174" s="28" t="n"/>
      <c r="Q174" s="28" t="n"/>
      <c r="R174" s="28" t="n"/>
      <c r="S174" s="28" t="n"/>
      <c r="T174" s="28" t="n"/>
      <c r="U174" s="28" t="n"/>
      <c r="W174" s="28" t="n"/>
    </row>
    <row r="175" ht="12.75" customHeight="1">
      <c r="O175" s="28" t="n"/>
      <c r="P175" s="28" t="n"/>
      <c r="Q175" s="28" t="n"/>
      <c r="R175" s="28" t="n"/>
      <c r="S175" s="28" t="n"/>
      <c r="T175" s="28" t="n"/>
      <c r="U175" s="28" t="n"/>
      <c r="W175" s="28" t="n"/>
    </row>
    <row r="176" ht="12.75" customHeight="1">
      <c r="O176" s="28" t="n"/>
      <c r="P176" s="28" t="n"/>
      <c r="Q176" s="28" t="n"/>
      <c r="R176" s="28" t="n"/>
      <c r="S176" s="28" t="n"/>
      <c r="T176" s="28" t="n"/>
      <c r="U176" s="28" t="n"/>
      <c r="W176" s="28" t="n"/>
    </row>
    <row r="177" ht="12.75" customHeight="1">
      <c r="O177" s="28" t="n"/>
      <c r="P177" s="28" t="n"/>
      <c r="Q177" s="28" t="n"/>
      <c r="R177" s="28" t="n"/>
      <c r="S177" s="28" t="n"/>
      <c r="T177" s="28" t="n"/>
      <c r="U177" s="28" t="n"/>
      <c r="W177" s="28" t="n"/>
    </row>
    <row r="178" ht="12.75" customHeight="1">
      <c r="O178" s="28" t="n"/>
      <c r="P178" s="28" t="n"/>
      <c r="Q178" s="28" t="n"/>
      <c r="R178" s="28" t="n"/>
      <c r="S178" s="28" t="n"/>
      <c r="T178" s="28" t="n"/>
      <c r="U178" s="28" t="n"/>
      <c r="W178" s="28" t="n"/>
    </row>
    <row r="179" ht="12.75" customHeight="1">
      <c r="O179" s="28" t="n"/>
      <c r="P179" s="28" t="n"/>
      <c r="Q179" s="28" t="n"/>
      <c r="R179" s="28" t="n"/>
      <c r="S179" s="28" t="n"/>
      <c r="T179" s="28" t="n"/>
      <c r="U179" s="28" t="n"/>
      <c r="W179" s="28" t="n"/>
    </row>
    <row r="180" ht="12.75" customHeight="1">
      <c r="O180" s="28" t="n"/>
      <c r="P180" s="28" t="n"/>
      <c r="Q180" s="28" t="n"/>
      <c r="R180" s="28" t="n"/>
      <c r="S180" s="28" t="n"/>
      <c r="T180" s="28" t="n"/>
      <c r="U180" s="28" t="n"/>
      <c r="W180" s="28" t="n"/>
    </row>
    <row r="181" ht="12.75" customHeight="1">
      <c r="O181" s="28" t="n"/>
      <c r="P181" s="28" t="n"/>
      <c r="Q181" s="28" t="n"/>
      <c r="R181" s="28" t="n"/>
      <c r="S181" s="28" t="n"/>
      <c r="T181" s="28" t="n"/>
      <c r="U181" s="28" t="n"/>
      <c r="W181" s="28" t="n"/>
    </row>
    <row r="182" ht="12.75" customHeight="1">
      <c r="O182" s="28" t="n"/>
      <c r="P182" s="28" t="n"/>
      <c r="Q182" s="28" t="n"/>
      <c r="R182" s="28" t="n"/>
      <c r="S182" s="28" t="n"/>
      <c r="T182" s="28" t="n"/>
      <c r="U182" s="28" t="n"/>
      <c r="W182" s="28" t="n"/>
    </row>
    <row r="183" ht="12.75" customHeight="1">
      <c r="O183" s="28" t="n"/>
      <c r="P183" s="28" t="n"/>
      <c r="Q183" s="28" t="n"/>
      <c r="R183" s="28" t="n"/>
      <c r="S183" s="28" t="n"/>
      <c r="T183" s="28" t="n"/>
      <c r="U183" s="28" t="n"/>
      <c r="W183" s="28" t="n"/>
    </row>
    <row r="184" ht="12.75" customHeight="1">
      <c r="O184" s="28" t="n"/>
      <c r="P184" s="28" t="n"/>
      <c r="Q184" s="28" t="n"/>
      <c r="R184" s="28" t="n"/>
      <c r="S184" s="28" t="n"/>
      <c r="T184" s="28" t="n"/>
      <c r="U184" s="28" t="n"/>
      <c r="W184" s="28" t="n"/>
    </row>
    <row r="185" ht="12.75" customHeight="1">
      <c r="O185" s="28" t="n"/>
      <c r="P185" s="28" t="n"/>
      <c r="Q185" s="28" t="n"/>
      <c r="R185" s="28" t="n"/>
      <c r="S185" s="28" t="n"/>
      <c r="T185" s="28" t="n"/>
      <c r="U185" s="28" t="n"/>
      <c r="W185" s="28" t="n"/>
    </row>
    <row r="186" ht="12.75" customHeight="1">
      <c r="O186" s="28" t="n"/>
      <c r="P186" s="28" t="n"/>
      <c r="Q186" s="28" t="n"/>
      <c r="R186" s="28" t="n"/>
      <c r="S186" s="28" t="n"/>
      <c r="T186" s="28" t="n"/>
      <c r="U186" s="28" t="n"/>
      <c r="W186" s="28" t="n"/>
    </row>
    <row r="187" ht="12.75" customHeight="1">
      <c r="O187" s="28" t="n"/>
      <c r="P187" s="28" t="n"/>
      <c r="Q187" s="28" t="n"/>
      <c r="R187" s="28" t="n"/>
      <c r="S187" s="28" t="n"/>
      <c r="T187" s="28" t="n"/>
      <c r="U187" s="28" t="n"/>
      <c r="W187" s="28" t="n"/>
    </row>
    <row r="188" ht="12.75" customHeight="1">
      <c r="O188" s="28" t="n"/>
      <c r="P188" s="28" t="n"/>
      <c r="Q188" s="28" t="n"/>
      <c r="R188" s="28" t="n"/>
      <c r="S188" s="28" t="n"/>
      <c r="T188" s="28" t="n"/>
      <c r="U188" s="28" t="n"/>
      <c r="W188" s="28" t="n"/>
    </row>
    <row r="189" ht="12.75" customHeight="1">
      <c r="O189" s="28" t="n"/>
      <c r="P189" s="28" t="n"/>
      <c r="Q189" s="28" t="n"/>
      <c r="R189" s="28" t="n"/>
      <c r="S189" s="28" t="n"/>
      <c r="T189" s="28" t="n"/>
      <c r="U189" s="28" t="n"/>
      <c r="W189" s="28" t="n"/>
    </row>
    <row r="190" ht="12.75" customHeight="1">
      <c r="O190" s="28" t="n"/>
      <c r="P190" s="28" t="n"/>
      <c r="Q190" s="28" t="n"/>
      <c r="R190" s="28" t="n"/>
      <c r="S190" s="28" t="n"/>
      <c r="T190" s="28" t="n"/>
      <c r="U190" s="28" t="n"/>
      <c r="W190" s="28" t="n"/>
    </row>
    <row r="191" ht="12.75" customHeight="1">
      <c r="O191" s="28" t="n"/>
      <c r="P191" s="28" t="n"/>
      <c r="Q191" s="28" t="n"/>
      <c r="R191" s="28" t="n"/>
      <c r="S191" s="28" t="n"/>
      <c r="T191" s="28" t="n"/>
      <c r="U191" s="28" t="n"/>
      <c r="W191" s="28" t="n"/>
    </row>
    <row r="192" ht="12.75" customHeight="1">
      <c r="O192" s="28" t="n"/>
      <c r="P192" s="28" t="n"/>
      <c r="Q192" s="28" t="n"/>
      <c r="R192" s="28" t="n"/>
      <c r="S192" s="28" t="n"/>
      <c r="T192" s="28" t="n"/>
      <c r="U192" s="28" t="n"/>
      <c r="W192" s="28" t="n"/>
    </row>
    <row r="193" ht="12.75" customHeight="1">
      <c r="O193" s="28" t="n"/>
      <c r="P193" s="28" t="n"/>
      <c r="Q193" s="28" t="n"/>
      <c r="R193" s="28" t="n"/>
      <c r="S193" s="28" t="n"/>
      <c r="T193" s="28" t="n"/>
      <c r="U193" s="28" t="n"/>
      <c r="W193" s="28" t="n"/>
    </row>
    <row r="194" ht="12.75" customHeight="1">
      <c r="O194" s="28" t="n"/>
      <c r="P194" s="28" t="n"/>
      <c r="Q194" s="28" t="n"/>
      <c r="R194" s="28" t="n"/>
      <c r="S194" s="28" t="n"/>
      <c r="T194" s="28" t="n"/>
      <c r="U194" s="28" t="n"/>
      <c r="W194" s="28" t="n"/>
    </row>
    <row r="195" ht="12.75" customHeight="1">
      <c r="O195" s="28" t="n"/>
      <c r="P195" s="28" t="n"/>
      <c r="Q195" s="28" t="n"/>
      <c r="R195" s="28" t="n"/>
      <c r="S195" s="28" t="n"/>
      <c r="T195" s="28" t="n"/>
      <c r="U195" s="28" t="n"/>
      <c r="W195" s="28" t="n"/>
    </row>
    <row r="196" ht="12.75" customHeight="1">
      <c r="O196" s="28" t="n"/>
      <c r="P196" s="28" t="n"/>
      <c r="Q196" s="28" t="n"/>
      <c r="R196" s="28" t="n"/>
      <c r="S196" s="28" t="n"/>
      <c r="T196" s="28" t="n"/>
      <c r="U196" s="28" t="n"/>
      <c r="W196" s="28" t="n"/>
    </row>
    <row r="197" ht="12.75" customHeight="1">
      <c r="O197" s="28" t="n"/>
      <c r="P197" s="28" t="n"/>
      <c r="Q197" s="28" t="n"/>
      <c r="R197" s="28" t="n"/>
      <c r="S197" s="28" t="n"/>
      <c r="T197" s="28" t="n"/>
      <c r="U197" s="28" t="n"/>
      <c r="W197" s="28" t="n"/>
    </row>
    <row r="198" ht="12.75" customHeight="1">
      <c r="O198" s="28" t="n"/>
      <c r="P198" s="28" t="n"/>
      <c r="Q198" s="28" t="n"/>
      <c r="R198" s="28" t="n"/>
      <c r="S198" s="28" t="n"/>
      <c r="T198" s="28" t="n"/>
      <c r="U198" s="28" t="n"/>
      <c r="W198" s="28" t="n"/>
    </row>
    <row r="199" ht="12.75" customHeight="1">
      <c r="O199" s="28" t="n"/>
      <c r="P199" s="28" t="n"/>
      <c r="Q199" s="28" t="n"/>
      <c r="R199" s="28" t="n"/>
      <c r="S199" s="28" t="n"/>
      <c r="T199" s="28" t="n"/>
      <c r="U199" s="28" t="n"/>
      <c r="W199" s="28" t="n"/>
    </row>
    <row r="200" ht="12.75" customHeight="1">
      <c r="O200" s="28" t="n"/>
      <c r="P200" s="28" t="n"/>
      <c r="Q200" s="28" t="n"/>
      <c r="R200" s="28" t="n"/>
      <c r="S200" s="28" t="n"/>
      <c r="T200" s="28" t="n"/>
      <c r="U200" s="28" t="n"/>
      <c r="W200" s="28" t="n"/>
    </row>
    <row r="201" ht="12.75" customHeight="1">
      <c r="O201" s="28" t="n"/>
      <c r="P201" s="28" t="n"/>
      <c r="Q201" s="28" t="n"/>
      <c r="R201" s="28" t="n"/>
      <c r="S201" s="28" t="n"/>
      <c r="T201" s="28" t="n"/>
      <c r="U201" s="28" t="n"/>
      <c r="W201" s="28" t="n"/>
    </row>
    <row r="202" ht="12.75" customHeight="1">
      <c r="O202" s="28" t="n"/>
      <c r="P202" s="28" t="n"/>
      <c r="Q202" s="28" t="n"/>
      <c r="R202" s="28" t="n"/>
      <c r="S202" s="28" t="n"/>
      <c r="T202" s="28" t="n"/>
      <c r="U202" s="28" t="n"/>
      <c r="W202" s="28" t="n"/>
    </row>
    <row r="203" ht="12.75" customHeight="1">
      <c r="O203" s="28" t="n"/>
      <c r="P203" s="28" t="n"/>
      <c r="Q203" s="28" t="n"/>
      <c r="R203" s="28" t="n"/>
      <c r="S203" s="28" t="n"/>
      <c r="T203" s="28" t="n"/>
      <c r="U203" s="28" t="n"/>
      <c r="W203" s="28" t="n"/>
    </row>
    <row r="204" ht="12.75" customHeight="1">
      <c r="O204" s="28" t="n"/>
      <c r="P204" s="28" t="n"/>
      <c r="Q204" s="28" t="n"/>
      <c r="R204" s="28" t="n"/>
      <c r="S204" s="28" t="n"/>
      <c r="T204" s="28" t="n"/>
      <c r="U204" s="28" t="n"/>
      <c r="W204" s="28" t="n"/>
    </row>
    <row r="205" ht="12.75" customHeight="1">
      <c r="O205" s="28" t="n"/>
      <c r="P205" s="28" t="n"/>
      <c r="Q205" s="28" t="n"/>
      <c r="R205" s="28" t="n"/>
      <c r="S205" s="28" t="n"/>
      <c r="T205" s="28" t="n"/>
      <c r="U205" s="28" t="n"/>
      <c r="W205" s="28" t="n"/>
    </row>
    <row r="206" ht="12.75" customHeight="1">
      <c r="O206" s="28" t="n"/>
      <c r="P206" s="28" t="n"/>
      <c r="Q206" s="28" t="n"/>
      <c r="R206" s="28" t="n"/>
      <c r="S206" s="28" t="n"/>
      <c r="T206" s="28" t="n"/>
      <c r="U206" s="28" t="n"/>
      <c r="W206" s="28" t="n"/>
    </row>
    <row r="207" ht="12.75" customHeight="1">
      <c r="O207" s="28" t="n"/>
      <c r="P207" s="28" t="n"/>
      <c r="Q207" s="28" t="n"/>
      <c r="R207" s="28" t="n"/>
      <c r="S207" s="28" t="n"/>
      <c r="T207" s="28" t="n"/>
      <c r="U207" s="28" t="n"/>
      <c r="W207" s="28" t="n"/>
    </row>
    <row r="208" ht="12.75" customHeight="1">
      <c r="O208" s="28" t="n"/>
      <c r="P208" s="28" t="n"/>
      <c r="Q208" s="28" t="n"/>
      <c r="R208" s="28" t="n"/>
      <c r="S208" s="28" t="n"/>
      <c r="T208" s="28" t="n"/>
      <c r="U208" s="28" t="n"/>
      <c r="W208" s="28" t="n"/>
    </row>
    <row r="209" ht="12.75" customHeight="1">
      <c r="O209" s="28" t="n"/>
      <c r="P209" s="28" t="n"/>
      <c r="Q209" s="28" t="n"/>
      <c r="R209" s="28" t="n"/>
      <c r="S209" s="28" t="n"/>
      <c r="T209" s="28" t="n"/>
      <c r="U209" s="28" t="n"/>
      <c r="W209" s="28" t="n"/>
    </row>
    <row r="210" ht="12.75" customHeight="1">
      <c r="O210" s="28" t="n"/>
      <c r="P210" s="28" t="n"/>
      <c r="Q210" s="28" t="n"/>
      <c r="R210" s="28" t="n"/>
      <c r="S210" s="28" t="n"/>
      <c r="T210" s="28" t="n"/>
      <c r="U210" s="28" t="n"/>
      <c r="W210" s="28" t="n"/>
    </row>
    <row r="211" ht="12.75" customHeight="1">
      <c r="O211" s="28" t="n"/>
      <c r="P211" s="28" t="n"/>
      <c r="Q211" s="28" t="n"/>
      <c r="R211" s="28" t="n"/>
      <c r="S211" s="28" t="n"/>
      <c r="T211" s="28" t="n"/>
      <c r="U211" s="28" t="n"/>
      <c r="W211" s="28" t="n"/>
    </row>
    <row r="212" ht="12.75" customHeight="1">
      <c r="O212" s="28" t="n"/>
      <c r="P212" s="28" t="n"/>
      <c r="Q212" s="28" t="n"/>
      <c r="R212" s="28" t="n"/>
      <c r="S212" s="28" t="n"/>
      <c r="T212" s="28" t="n"/>
      <c r="U212" s="28" t="n"/>
      <c r="W212" s="28" t="n"/>
    </row>
    <row r="213" ht="12.75" customHeight="1">
      <c r="O213" s="28" t="n"/>
      <c r="P213" s="28" t="n"/>
      <c r="Q213" s="28" t="n"/>
      <c r="R213" s="28" t="n"/>
      <c r="S213" s="28" t="n"/>
      <c r="T213" s="28" t="n"/>
      <c r="U213" s="28" t="n"/>
      <c r="W213" s="28" t="n"/>
    </row>
    <row r="214" ht="12.75" customHeight="1">
      <c r="O214" s="28" t="n"/>
      <c r="P214" s="28" t="n"/>
      <c r="Q214" s="28" t="n"/>
      <c r="R214" s="28" t="n"/>
      <c r="S214" s="28" t="n"/>
      <c r="T214" s="28" t="n"/>
      <c r="U214" s="28" t="n"/>
      <c r="W214" s="28" t="n"/>
    </row>
    <row r="215" ht="12.75" customHeight="1">
      <c r="O215" s="28" t="n"/>
      <c r="P215" s="28" t="n"/>
      <c r="Q215" s="28" t="n"/>
      <c r="R215" s="28" t="n"/>
      <c r="S215" s="28" t="n"/>
      <c r="T215" s="28" t="n"/>
      <c r="U215" s="28" t="n"/>
      <c r="W215" s="28" t="n"/>
    </row>
    <row r="216" ht="12.75" customHeight="1">
      <c r="O216" s="28" t="n"/>
      <c r="P216" s="28" t="n"/>
      <c r="Q216" s="28" t="n"/>
      <c r="R216" s="28" t="n"/>
      <c r="S216" s="28" t="n"/>
      <c r="T216" s="28" t="n"/>
      <c r="U216" s="28" t="n"/>
      <c r="W216" s="28" t="n"/>
    </row>
    <row r="217" ht="12.75" customHeight="1">
      <c r="O217" s="28" t="n"/>
      <c r="P217" s="28" t="n"/>
      <c r="Q217" s="28" t="n"/>
      <c r="R217" s="28" t="n"/>
      <c r="S217" s="28" t="n"/>
      <c r="T217" s="28" t="n"/>
      <c r="U217" s="28" t="n"/>
      <c r="W217" s="28" t="n"/>
    </row>
    <row r="218" ht="12.75" customHeight="1">
      <c r="O218" s="28" t="n"/>
      <c r="P218" s="28" t="n"/>
      <c r="Q218" s="28" t="n"/>
      <c r="R218" s="28" t="n"/>
      <c r="S218" s="28" t="n"/>
      <c r="T218" s="28" t="n"/>
      <c r="U218" s="28" t="n"/>
      <c r="W218" s="28" t="n"/>
    </row>
    <row r="219" ht="12.75" customHeight="1">
      <c r="O219" s="28" t="n"/>
      <c r="P219" s="28" t="n"/>
      <c r="Q219" s="28" t="n"/>
      <c r="R219" s="28" t="n"/>
      <c r="S219" s="28" t="n"/>
      <c r="T219" s="28" t="n"/>
      <c r="U219" s="28" t="n"/>
      <c r="W219" s="28" t="n"/>
    </row>
    <row r="220" ht="12.75" customHeight="1">
      <c r="O220" s="28" t="n"/>
      <c r="P220" s="28" t="n"/>
      <c r="Q220" s="28" t="n"/>
      <c r="R220" s="28" t="n"/>
      <c r="S220" s="28" t="n"/>
      <c r="T220" s="28" t="n"/>
      <c r="U220" s="28" t="n"/>
      <c r="W220" s="28" t="n"/>
    </row>
    <row r="221" ht="15.75" customHeight="1">
      <c r="O221" s="28" t="n"/>
      <c r="P221" s="28" t="n"/>
      <c r="Q221" s="28" t="n"/>
      <c r="R221" s="28" t="n"/>
      <c r="S221" s="28" t="n"/>
      <c r="T221" s="28" t="n"/>
      <c r="U221" s="28" t="n"/>
      <c r="W221" s="28" t="n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F19"/>
  <mergeCells count="10">
    <mergeCell ref="P4:Q4"/>
    <mergeCell ref="X1:AF1"/>
    <mergeCell ref="G1:U1"/>
    <mergeCell ref="V1:W1"/>
    <mergeCell ref="R4:T4"/>
    <mergeCell ref="G2:N2"/>
    <mergeCell ref="O2:U2"/>
    <mergeCell ref="H4:I4"/>
    <mergeCell ref="Y2:AB2"/>
    <mergeCell ref="AC2:AF2"/>
  </mergeCells>
  <conditionalFormatting sqref="G5:M19">
    <cfRule type="notContainsBlanks" priority="1" dxfId="9">
      <formula>LEN(TRIM(G5))&gt;0</formula>
    </cfRule>
  </conditionalFormatting>
  <conditionalFormatting sqref="N5:N19">
    <cfRule type="cellIs" priority="2" operator="equal" dxfId="9">
      <formula>"Accredited"</formula>
    </cfRule>
  </conditionalFormatting>
  <conditionalFormatting sqref="O5:T19">
    <cfRule type="notContainsBlanks" priority="3" dxfId="4">
      <formula>LEN(TRIM(O5))&gt;0</formula>
    </cfRule>
  </conditionalFormatting>
  <conditionalFormatting sqref="U5:U19">
    <cfRule type="cellIs" priority="4" operator="equal" dxfId="4">
      <formula>"Accredited"</formula>
    </cfRule>
  </conditionalFormatting>
  <conditionalFormatting sqref="V5:V19">
    <cfRule type="notContainsBlanks" priority="5" dxfId="6">
      <formula>LEN(TRIM(V5))&gt;0</formula>
    </cfRule>
  </conditionalFormatting>
  <conditionalFormatting sqref="W5:W15 W17:W19">
    <cfRule type="cellIs" priority="6" operator="equal" dxfId="5">
      <formula>"Accredited"</formula>
    </cfRule>
  </conditionalFormatting>
  <conditionalFormatting sqref="W16">
    <cfRule type="cellIs" priority="7" operator="equal" dxfId="4">
      <formula>"Accredited"</formula>
    </cfRule>
  </conditionalFormatting>
  <conditionalFormatting sqref="X5:X19">
    <cfRule type="notContainsBlanks" priority="8" dxfId="3">
      <formula>LEN(TRIM(X5))&gt;0</formula>
    </cfRule>
  </conditionalFormatting>
  <conditionalFormatting sqref="Y5:AF19">
    <cfRule type="containsText" priority="9" operator="containsText" dxfId="2" text="high">
      <formula>NOT(ISERROR(SEARCH(("high"),(Y5))))</formula>
    </cfRule>
    <cfRule type="containsText" priority="10" operator="containsText" dxfId="1" text="medium">
      <formula>NOT(ISERROR(SEARCH(("medium"),(Y5))))</formula>
    </cfRule>
    <cfRule type="containsText" priority="11" operator="containsText" dxfId="0" text="low">
      <formula>NOT(ISERROR(SEARCH(("low"),(Y5))))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10" defaultColWidth="12.6640625" defaultRowHeight="15" customHeight="1"/>
  <cols>
    <col width="8.6640625" customWidth="1" min="1" max="26"/>
  </cols>
  <sheetData>
    <row r="1" ht="13" customHeight="1">
      <c r="A1" s="27" t="inlineStr">
        <is>
          <t>Guardian Name</t>
        </is>
      </c>
      <c r="B1" s="27" t="inlineStr">
        <is>
          <t>Email</t>
        </is>
      </c>
      <c r="C1" s="27" t="inlineStr">
        <is>
          <t>Partner</t>
        </is>
      </c>
      <c r="D1" s="27" t="inlineStr">
        <is>
          <t>Specialist Course</t>
        </is>
      </c>
      <c r="E1" s="27" t="inlineStr">
        <is>
          <t>TCSA</t>
        </is>
      </c>
      <c r="F1" s="27" t="inlineStr">
        <is>
          <t>TCSE</t>
        </is>
      </c>
      <c r="G1" s="27" t="inlineStr">
        <is>
          <t>TCDE</t>
        </is>
      </c>
      <c r="H1" s="27" t="inlineStr">
        <is>
          <t>Obs</t>
        </is>
      </c>
    </row>
    <row r="2" ht="13" customHeight="1">
      <c r="A2" s="27" t="inlineStr">
        <is>
          <t>Daniel Batista</t>
        </is>
      </c>
      <c r="B2" s="27" t="inlineStr">
        <is>
          <t>daniel.batista@shieldsec.com.br</t>
        </is>
      </c>
      <c r="C2" s="27" t="inlineStr">
        <is>
          <t>Shield</t>
        </is>
      </c>
      <c r="D2" s="27" t="b">
        <v>1</v>
      </c>
      <c r="E2" s="27" t="b">
        <v>1</v>
      </c>
      <c r="F2" s="27" t="b">
        <v>1</v>
      </c>
      <c r="G2" s="27" t="b">
        <v>0</v>
      </c>
      <c r="H2" s="27" t="inlineStr">
        <is>
          <t>faltam provas</t>
        </is>
      </c>
    </row>
    <row r="3" ht="13" customHeight="1">
      <c r="A3" s="27" t="inlineStr">
        <is>
          <t>Enalta Diniz</t>
        </is>
      </c>
      <c r="B3" s="27" t="inlineStr">
        <is>
          <t>elnata.diniz@shieldsec.com.br</t>
        </is>
      </c>
      <c r="C3" s="27" t="inlineStr">
        <is>
          <t>Shield</t>
        </is>
      </c>
      <c r="D3" s="27" t="b">
        <v>1</v>
      </c>
      <c r="E3" s="27" t="b">
        <v>1</v>
      </c>
      <c r="F3" s="27" t="b">
        <v>1</v>
      </c>
      <c r="G3" s="27" t="b">
        <v>0</v>
      </c>
      <c r="H3" s="27" t="inlineStr">
        <is>
          <t>faltam provas</t>
        </is>
      </c>
    </row>
    <row r="4" ht="13" customHeight="1">
      <c r="A4" s="27" t="inlineStr">
        <is>
          <t>Raul Carbonari</t>
        </is>
      </c>
      <c r="B4" s="27" t="inlineStr">
        <is>
          <t>rcarbonari@tdec.com.br</t>
        </is>
      </c>
      <c r="C4" s="27" t="inlineStr">
        <is>
          <t>TDEC</t>
        </is>
      </c>
      <c r="D4" s="27" t="b">
        <v>1</v>
      </c>
      <c r="E4" s="27" t="b">
        <v>1</v>
      </c>
      <c r="F4" s="27" t="b">
        <v>1</v>
      </c>
      <c r="G4" s="27" t="b">
        <v>0</v>
      </c>
      <c r="H4" s="27" t="inlineStr">
        <is>
          <t>faltam provas</t>
        </is>
      </c>
    </row>
    <row r="5" ht="13" customHeight="1">
      <c r="A5" t="inlineStr">
        <is>
          <t>Omar Fernandes</t>
        </is>
      </c>
      <c r="B5" t="inlineStr">
        <is>
          <t>ocavalcante@tdec.com.br</t>
        </is>
      </c>
      <c r="C5" t="inlineStr">
        <is>
          <t>TDEC</t>
        </is>
      </c>
      <c r="D5" t="b">
        <v>1</v>
      </c>
      <c r="E5" t="b">
        <v>1</v>
      </c>
      <c r="F5" t="b">
        <v>1</v>
      </c>
      <c r="G5" t="b">
        <v>1</v>
      </c>
      <c r="H5" t="inlineStr">
        <is>
          <t>Guardian concluído ✅</t>
        </is>
      </c>
    </row>
    <row r="6" ht="13" customHeight="1">
      <c r="A6" s="27" t="inlineStr">
        <is>
          <t>David Celestino</t>
        </is>
      </c>
      <c r="B6" s="27" t="inlineStr">
        <is>
          <t>david.celestino@asper.tec.br</t>
        </is>
      </c>
      <c r="C6" s="27" t="inlineStr">
        <is>
          <t>Asper</t>
        </is>
      </c>
      <c r="D6" s="27" t="b">
        <v>1</v>
      </c>
      <c r="E6" s="27" t="b">
        <v>1</v>
      </c>
      <c r="F6" s="27" t="b">
        <v>1</v>
      </c>
      <c r="G6" s="27" t="b">
        <v>0</v>
      </c>
      <c r="H6" s="27" t="inlineStr">
        <is>
          <t>faltam provas</t>
        </is>
      </c>
    </row>
    <row r="7" ht="13" customHeight="1">
      <c r="A7" s="27" t="inlineStr">
        <is>
          <t>Avner Nahum</t>
        </is>
      </c>
      <c r="B7" s="27" t="inlineStr">
        <is>
          <t>avner.nahum@asper.tec.br</t>
        </is>
      </c>
      <c r="C7" s="27" t="inlineStr">
        <is>
          <t>Asper</t>
        </is>
      </c>
      <c r="D7" s="27" t="b">
        <v>1</v>
      </c>
      <c r="E7" s="27" t="b">
        <v>1</v>
      </c>
      <c r="F7" s="27" t="b">
        <v>1</v>
      </c>
      <c r="G7" s="27" t="b">
        <v>0</v>
      </c>
      <c r="H7" s="27" t="inlineStr">
        <is>
          <t>faltam provas</t>
        </is>
      </c>
    </row>
    <row r="8" ht="13" customHeight="1">
      <c r="A8" s="27" t="inlineStr">
        <is>
          <t>Lucas Vasconcelos</t>
        </is>
      </c>
      <c r="B8" s="27" t="inlineStr">
        <is>
          <t>lucas.silva@globalsectec.com.br</t>
        </is>
      </c>
      <c r="C8" s="27" t="inlineStr">
        <is>
          <t>GlobalSec</t>
        </is>
      </c>
      <c r="D8" s="27" t="b">
        <v>0</v>
      </c>
      <c r="E8" s="27" t="b">
        <v>0</v>
      </c>
      <c r="F8" s="27" t="b">
        <v>0</v>
      </c>
      <c r="G8" s="27" t="b">
        <v>0</v>
      </c>
      <c r="H8" s="27" t="inlineStr">
        <is>
          <t>realizando curso intro para liberar especialista</t>
        </is>
      </c>
    </row>
    <row r="9" ht="13" customHeight="1">
      <c r="A9" s="27" t="inlineStr">
        <is>
          <t>Thiago Gonçalves</t>
        </is>
      </c>
      <c r="B9" s="27" t="inlineStr"/>
      <c r="C9" s="27" t="inlineStr">
        <is>
          <t>ISH</t>
        </is>
      </c>
      <c r="D9" s="27" t="b">
        <v>1</v>
      </c>
      <c r="E9" s="27" t="b">
        <v>1</v>
      </c>
      <c r="F9" s="27" t="b">
        <v>1</v>
      </c>
      <c r="G9" s="27" t="b">
        <v>1</v>
      </c>
      <c r="H9" s="27" t="inlineStr">
        <is>
          <t>Guardian concluído ✅</t>
        </is>
      </c>
    </row>
    <row r="10" ht="13" customHeight="1">
      <c r="A10" s="27" t="inlineStr">
        <is>
          <t>Alessandro Vitalino</t>
        </is>
      </c>
      <c r="B10" s="27" t="inlineStr">
        <is>
          <t>alessandro.vitalino@netsecurity.com.br</t>
        </is>
      </c>
      <c r="C10" s="27" t="inlineStr">
        <is>
          <t>Netsecurity</t>
        </is>
      </c>
      <c r="D10" s="27" t="b">
        <v>0</v>
      </c>
      <c r="E10" s="27" t="b">
        <v>1</v>
      </c>
      <c r="F10" s="27" t="b">
        <v>1</v>
      </c>
      <c r="G10" s="27" t="b">
        <v>0</v>
      </c>
      <c r="H10" s="27" t="inlineStr">
        <is>
          <t>cursos liberados</t>
        </is>
      </c>
    </row>
    <row r="11" ht="13" customHeight="1">
      <c r="A11" s="27" t="inlineStr">
        <is>
          <t>Gutenberg Brito</t>
        </is>
      </c>
      <c r="B11" s="27" t="inlineStr">
        <is>
          <t>gutenberg.brito@netsecurity.com.br</t>
        </is>
      </c>
      <c r="C11" s="27" t="inlineStr">
        <is>
          <t>Netsecurity</t>
        </is>
      </c>
      <c r="D11" s="27" t="b">
        <v>0</v>
      </c>
      <c r="E11" s="27" t="b">
        <v>1</v>
      </c>
      <c r="F11" s="27" t="b">
        <v>1</v>
      </c>
      <c r="G11" s="27" t="b">
        <v>0</v>
      </c>
      <c r="H11" s="27" t="inlineStr">
        <is>
          <t>cursos liberados</t>
        </is>
      </c>
    </row>
    <row r="12" ht="13" customHeight="1">
      <c r="A12" s="27" t="inlineStr">
        <is>
          <t>Marco Leissman</t>
        </is>
      </c>
      <c r="B12" s="27" t="inlineStr">
        <is>
          <t>marco.leissmann@underprotection.com.br</t>
        </is>
      </c>
      <c r="C12" s="27" t="inlineStr">
        <is>
          <t>Underprotection</t>
        </is>
      </c>
      <c r="D12" s="27" t="b">
        <v>0</v>
      </c>
      <c r="E12" s="27" t="b">
        <v>1</v>
      </c>
      <c r="F12" s="27" t="b">
        <v>1</v>
      </c>
      <c r="G12" s="27" t="b">
        <v>0</v>
      </c>
      <c r="H12" s="27" t="inlineStr">
        <is>
          <t>liberar treinamentos. finalizando online</t>
        </is>
      </c>
    </row>
    <row r="13" ht="13" customHeight="1">
      <c r="A13" s="27" t="inlineStr">
        <is>
          <t>Ney Gelbcke Junior</t>
        </is>
      </c>
      <c r="B13" s="27" t="inlineStr">
        <is>
          <t>ney.gelbcke@underprotection.com.br</t>
        </is>
      </c>
      <c r="C13" s="27" t="inlineStr">
        <is>
          <t>Underprotection</t>
        </is>
      </c>
      <c r="D13" s="27" t="b">
        <v>0</v>
      </c>
      <c r="E13" s="27" t="b">
        <v>1</v>
      </c>
      <c r="F13" s="27" t="b">
        <v>1</v>
      </c>
      <c r="G13" s="27" t="b">
        <v>0</v>
      </c>
      <c r="H13" s="27" t="inlineStr">
        <is>
          <t>liberar treinamentos. finalizando online</t>
        </is>
      </c>
    </row>
    <row r="14">
      <c r="A14" s="27" t="inlineStr">
        <is>
          <t>Yueslly Lisboa</t>
        </is>
      </c>
      <c r="B14" s="27" t="inlineStr">
        <is>
          <t>yueslly.lisboa@xsite.com.br</t>
        </is>
      </c>
      <c r="C14" s="27" t="inlineStr">
        <is>
          <t>XSite</t>
        </is>
      </c>
      <c r="D14" s="27" t="b">
        <v>1</v>
      </c>
      <c r="E14" s="27" t="b">
        <v>1</v>
      </c>
      <c r="F14" s="27" t="b">
        <v>1</v>
      </c>
      <c r="G14" s="27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Reseller</t>
        </is>
      </c>
      <c r="B1" t="inlineStr">
        <is>
          <t>Partner</t>
        </is>
      </c>
      <c r="C1" t="inlineStr">
        <is>
          <t>VM-SE</t>
        </is>
      </c>
      <c r="D1" t="inlineStr">
        <is>
          <t>VM-Sales</t>
        </is>
      </c>
      <c r="E1" t="inlineStr">
        <is>
          <t>CS-SE</t>
        </is>
      </c>
      <c r="F1" t="inlineStr">
        <is>
          <t>CS-Sales</t>
        </is>
      </c>
      <c r="G1" t="inlineStr">
        <is>
          <t>OT-SE</t>
        </is>
      </c>
      <c r="H1" t="inlineStr">
        <is>
          <t>OT-Sales</t>
        </is>
      </c>
      <c r="I1" t="inlineStr">
        <is>
          <t>IE-SE</t>
        </is>
      </c>
      <c r="J1" t="inlineStr">
        <is>
          <t>IE-Sales</t>
        </is>
      </c>
      <c r="K1" t="inlineStr">
        <is>
          <t>ASM-SE</t>
        </is>
      </c>
      <c r="L1" t="inlineStr">
        <is>
          <t>ASM-Sales</t>
        </is>
      </c>
      <c r="M1" t="inlineStr">
        <is>
          <t>Nessus</t>
        </is>
      </c>
      <c r="N1" t="inlineStr">
        <is>
          <t>ONE-SE</t>
        </is>
      </c>
      <c r="O1" t="inlineStr">
        <is>
          <t>ONE-Sales</t>
        </is>
      </c>
      <c r="P1" t="inlineStr">
        <is>
          <t>MSSP</t>
        </is>
      </c>
    </row>
    <row r="2">
      <c r="A2" t="n">
        <v>581437</v>
      </c>
      <c r="B2" t="inlineStr">
        <is>
          <t>SHIELD SECURITY TECNOLOGIA</t>
        </is>
      </c>
      <c r="C2" t="n">
        <v>26</v>
      </c>
      <c r="D2" t="n">
        <v>21</v>
      </c>
      <c r="E2" t="n">
        <v>11</v>
      </c>
      <c r="F2" t="n">
        <v>20</v>
      </c>
      <c r="G2" t="n">
        <v>12</v>
      </c>
      <c r="H2" t="n">
        <v>35</v>
      </c>
      <c r="I2" t="n">
        <v>12</v>
      </c>
      <c r="J2" t="n">
        <v>28</v>
      </c>
      <c r="K2" t="n">
        <v>12</v>
      </c>
      <c r="L2" t="n">
        <v>26</v>
      </c>
      <c r="M2" t="n">
        <v>28</v>
      </c>
      <c r="N2" t="n">
        <v>17</v>
      </c>
      <c r="O2" t="n">
        <v>49</v>
      </c>
      <c r="P2" t="n">
        <v>11</v>
      </c>
    </row>
    <row r="3">
      <c r="A3" t="n">
        <v>390733</v>
      </c>
      <c r="B3" t="inlineStr">
        <is>
          <t>TDec Redes de Computadores Ltda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3</v>
      </c>
      <c r="K3" t="n">
        <v>1</v>
      </c>
      <c r="L3" t="n">
        <v>1</v>
      </c>
      <c r="M3" t="n">
        <v>1</v>
      </c>
      <c r="N3" t="n">
        <v>1</v>
      </c>
      <c r="O3" t="n">
        <v>1</v>
      </c>
    </row>
    <row r="4">
      <c r="A4" t="n">
        <v>739732</v>
      </c>
      <c r="B4" t="inlineStr">
        <is>
          <t>ASPER TECNOLOGIA – RIO DE JANEIRO LTDA</t>
        </is>
      </c>
      <c r="C4" t="n">
        <v>3</v>
      </c>
      <c r="D4" t="n">
        <v>6</v>
      </c>
      <c r="E4" t="n">
        <v>6</v>
      </c>
      <c r="F4" t="n">
        <v>4</v>
      </c>
      <c r="G4" t="n">
        <v>3</v>
      </c>
      <c r="H4" t="n">
        <v>5</v>
      </c>
      <c r="I4" t="n">
        <v>5</v>
      </c>
      <c r="J4" t="n">
        <v>9</v>
      </c>
      <c r="K4" t="n">
        <v>2</v>
      </c>
      <c r="L4" t="n">
        <v>3</v>
      </c>
      <c r="M4" t="n">
        <v>4</v>
      </c>
      <c r="N4" t="n">
        <v>6</v>
      </c>
      <c r="O4" t="n">
        <v>7</v>
      </c>
      <c r="P4" t="n">
        <v>2</v>
      </c>
    </row>
    <row r="5">
      <c r="A5" t="n">
        <v>579399</v>
      </c>
      <c r="B5" t="inlineStr">
        <is>
          <t>XSite</t>
        </is>
      </c>
      <c r="C5" t="n">
        <v>7</v>
      </c>
      <c r="D5" t="n">
        <v>7</v>
      </c>
      <c r="E5" t="n">
        <v>9</v>
      </c>
      <c r="F5" t="n">
        <v>8</v>
      </c>
      <c r="G5" t="n">
        <v>3</v>
      </c>
      <c r="H5" t="n">
        <v>4</v>
      </c>
      <c r="I5" t="n">
        <v>8</v>
      </c>
      <c r="J5" t="n">
        <v>9</v>
      </c>
      <c r="K5" t="n">
        <v>4</v>
      </c>
      <c r="L5" t="n">
        <v>6</v>
      </c>
      <c r="M5" t="n">
        <v>5</v>
      </c>
      <c r="N5" t="n">
        <v>5</v>
      </c>
      <c r="O5" t="n">
        <v>7</v>
      </c>
      <c r="P5" t="n">
        <v>6</v>
      </c>
    </row>
    <row r="6">
      <c r="A6" t="n">
        <v>397166</v>
      </c>
      <c r="B6" t="inlineStr">
        <is>
          <t>ISH Tecnologia SA</t>
        </is>
      </c>
      <c r="C6" t="n">
        <v>14</v>
      </c>
      <c r="D6" t="n">
        <v>18</v>
      </c>
      <c r="E6" t="n">
        <v>7</v>
      </c>
      <c r="F6" t="n">
        <v>3</v>
      </c>
      <c r="G6" t="n">
        <v>9</v>
      </c>
      <c r="H6" t="n">
        <v>8</v>
      </c>
      <c r="I6" t="n">
        <v>3</v>
      </c>
      <c r="J6" t="n">
        <v>7</v>
      </c>
      <c r="K6" t="n">
        <v>3</v>
      </c>
      <c r="L6" t="n">
        <v>5</v>
      </c>
      <c r="M6" t="n">
        <v>8</v>
      </c>
      <c r="N6" t="n">
        <v>5</v>
      </c>
      <c r="O6" t="n">
        <v>16</v>
      </c>
      <c r="P6" t="n">
        <v>10</v>
      </c>
    </row>
    <row r="7">
      <c r="A7" t="n">
        <v>993857</v>
      </c>
      <c r="B7" t="inlineStr">
        <is>
          <t>GLOBAL SEC. TECNOLOGIA &amp; INFORMACAO EIRELI</t>
        </is>
      </c>
      <c r="H7" t="n">
        <v>1</v>
      </c>
      <c r="J7" t="n">
        <v>1</v>
      </c>
      <c r="N7" t="n">
        <v>1</v>
      </c>
      <c r="O7" t="n">
        <v>1</v>
      </c>
    </row>
    <row r="8">
      <c r="A8" t="n">
        <v>510201</v>
      </c>
      <c r="B8" t="inlineStr">
        <is>
          <t>Netsecurity Tecnologia LTDA</t>
        </is>
      </c>
      <c r="C8" t="n">
        <v>2</v>
      </c>
      <c r="D8" t="n">
        <v>6</v>
      </c>
      <c r="E8" t="n">
        <v>1</v>
      </c>
      <c r="F8" t="n">
        <v>4</v>
      </c>
      <c r="H8" t="n">
        <v>1</v>
      </c>
      <c r="J8" t="n">
        <v>2</v>
      </c>
      <c r="K8" t="n">
        <v>1</v>
      </c>
      <c r="L8" t="n">
        <v>4</v>
      </c>
      <c r="M8" t="n">
        <v>3</v>
      </c>
      <c r="N8" t="n">
        <v>2</v>
      </c>
      <c r="O8" t="n">
        <v>7</v>
      </c>
      <c r="P8" t="n">
        <v>1</v>
      </c>
    </row>
    <row r="9">
      <c r="A9" t="n">
        <v>458265</v>
      </c>
      <c r="B9" t="inlineStr">
        <is>
          <t>Future Technologies Informatica Ltda</t>
        </is>
      </c>
      <c r="C9" t="n">
        <v>5</v>
      </c>
      <c r="D9" t="n">
        <v>5</v>
      </c>
      <c r="E9" t="n">
        <v>3</v>
      </c>
      <c r="F9" t="n">
        <v>3</v>
      </c>
      <c r="G9" t="n">
        <v>3</v>
      </c>
      <c r="H9" t="n">
        <v>5</v>
      </c>
      <c r="I9" t="n">
        <v>2</v>
      </c>
      <c r="J9" t="n">
        <v>4</v>
      </c>
      <c r="K9" t="n">
        <v>2</v>
      </c>
      <c r="L9" t="n">
        <v>4</v>
      </c>
      <c r="M9" t="n">
        <v>4</v>
      </c>
      <c r="N9" t="n">
        <v>4</v>
      </c>
      <c r="O9" t="n">
        <v>6</v>
      </c>
      <c r="P9" t="n">
        <v>6</v>
      </c>
    </row>
    <row r="10">
      <c r="A10" t="n">
        <v>119472</v>
      </c>
      <c r="B10" t="inlineStr">
        <is>
          <t>ACCENTURE DO BRASIL LTDA</t>
        </is>
      </c>
      <c r="F10" t="n">
        <v>1</v>
      </c>
      <c r="G10" t="n">
        <v>2</v>
      </c>
      <c r="H10" t="n">
        <v>2</v>
      </c>
      <c r="K10" t="n">
        <v>1</v>
      </c>
      <c r="L10" t="n">
        <v>1</v>
      </c>
      <c r="O10" t="n">
        <v>2</v>
      </c>
      <c r="P10" t="n">
        <v>6</v>
      </c>
    </row>
    <row r="11">
      <c r="A11" t="n">
        <v>106294</v>
      </c>
      <c r="B11" t="inlineStr">
        <is>
          <t>Under Protection Consultoria em Informatica LTDA</t>
        </is>
      </c>
      <c r="C11" t="n">
        <v>5</v>
      </c>
      <c r="D11" t="n">
        <v>6</v>
      </c>
      <c r="E11" t="n">
        <v>4</v>
      </c>
      <c r="F11" t="n">
        <v>5</v>
      </c>
      <c r="G11" t="n">
        <v>2</v>
      </c>
      <c r="H11" t="n">
        <v>4</v>
      </c>
      <c r="I11" t="n">
        <v>4</v>
      </c>
      <c r="J11" t="n">
        <v>5</v>
      </c>
      <c r="K11" t="n">
        <v>3</v>
      </c>
      <c r="L11" t="n">
        <v>4</v>
      </c>
      <c r="M11" t="n">
        <v>5</v>
      </c>
      <c r="N11" t="n">
        <v>6</v>
      </c>
      <c r="O11" t="n">
        <v>8</v>
      </c>
      <c r="P11" t="n">
        <v>3</v>
      </c>
    </row>
    <row r="12">
      <c r="A12" t="n">
        <v>543439</v>
      </c>
      <c r="B12" t="inlineStr">
        <is>
          <t>Kryptus Seguranca da Informacao SA</t>
        </is>
      </c>
      <c r="C12" t="n">
        <v>1</v>
      </c>
      <c r="H12" t="n">
        <v>1</v>
      </c>
      <c r="O12" t="n">
        <v>3</v>
      </c>
      <c r="P12" t="n">
        <v>3</v>
      </c>
    </row>
    <row r="13">
      <c r="A13" t="n">
        <v>686107</v>
      </c>
      <c r="B13" t="inlineStr">
        <is>
          <t>e-Safer</t>
        </is>
      </c>
      <c r="C13" t="n">
        <v>1</v>
      </c>
      <c r="D13" t="n">
        <v>5</v>
      </c>
      <c r="E13" t="n">
        <v>1</v>
      </c>
      <c r="F13" t="n">
        <v>6</v>
      </c>
      <c r="G13" t="n">
        <v>1</v>
      </c>
      <c r="H13" t="n">
        <v>4</v>
      </c>
      <c r="J13" t="n">
        <v>5</v>
      </c>
      <c r="L13" t="n">
        <v>4</v>
      </c>
      <c r="M13" t="n">
        <v>4</v>
      </c>
      <c r="N13" t="n">
        <v>3</v>
      </c>
      <c r="O13" t="n">
        <v>9</v>
      </c>
      <c r="P13" t="n">
        <v>1</v>
      </c>
    </row>
    <row r="14">
      <c r="A14" t="inlineStr">
        <is>
          <t>001f200001xtmLIAAY</t>
        </is>
      </c>
      <c r="B14" t="inlineStr">
        <is>
          <t>Servix Informática Ltda</t>
        </is>
      </c>
      <c r="C14" t="n">
        <v>2</v>
      </c>
      <c r="D14" t="n">
        <v>3</v>
      </c>
      <c r="H14" t="n">
        <v>1</v>
      </c>
      <c r="M14" t="n">
        <v>1</v>
      </c>
      <c r="N14" t="n">
        <v>3</v>
      </c>
      <c r="O14" t="n">
        <v>6</v>
      </c>
    </row>
    <row r="15">
      <c r="A15" t="n">
        <v>644733</v>
      </c>
      <c r="B15" t="inlineStr">
        <is>
          <t>IT PROTECT SERVICOS DE CONSULTORIA EM INFORMATICA EIRELI</t>
        </is>
      </c>
      <c r="C15" t="n">
        <v>4</v>
      </c>
      <c r="D15" t="n">
        <v>4</v>
      </c>
      <c r="E15" t="n">
        <v>2</v>
      </c>
      <c r="F15" t="n">
        <v>3</v>
      </c>
      <c r="G15" t="n">
        <v>1</v>
      </c>
      <c r="H15" t="n">
        <v>2</v>
      </c>
      <c r="I15" t="n">
        <v>1</v>
      </c>
      <c r="J15" t="n">
        <v>3</v>
      </c>
      <c r="K15" t="n">
        <v>1</v>
      </c>
      <c r="L15" t="n">
        <v>3</v>
      </c>
      <c r="M15" t="n">
        <v>5</v>
      </c>
      <c r="N15" t="n">
        <v>2</v>
      </c>
      <c r="O15" t="n">
        <v>4</v>
      </c>
      <c r="P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2026-06-15T01:56:32Z</dcterms:created>
  <dcterms:modified xsi:type="dcterms:W3CDTF">2026-07-07T15:10:16Z</dcterms:modified>
  <cp:lastModifiedBy>Marcelo Rovere</cp:lastModifiedBy>
</cp:coreProperties>
</file>